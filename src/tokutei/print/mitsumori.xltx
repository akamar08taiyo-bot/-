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/>
  <workbookPr defaultThemeVersion="124226"/>
  <xr:revisionPtr revIDLastSave="0" documentId="8_{E4B8157A-AA62-4EB0-91A5-9C4A91DA0ED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見積書" sheetId="3" r:id="rId1"/>
    <sheet name="マスタ" sheetId="4" r:id="rId2"/>
  </sheets>
  <definedNames>
    <definedName name="_xlnm.Print_Area" localSheetId="0">見積書!$A$1:$K$62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<sst xmlns="http://schemas.openxmlformats.org/spreadsheetml/2006/main" count="158" uniqueCount="155">
  <si>
    <t>数量</t>
    <rPh sb="0" eb="2">
      <t>スウリョウ</t>
    </rPh>
    <phoneticPr fontId="3"/>
  </si>
  <si>
    <t>単位</t>
    <rPh sb="0" eb="2">
      <t>タンイ</t>
    </rPh>
    <phoneticPr fontId="3"/>
  </si>
  <si>
    <t>単価</t>
    <rPh sb="0" eb="2">
      <t>タンカ</t>
    </rPh>
    <phoneticPr fontId="3"/>
  </si>
  <si>
    <t>金額（税抜）</t>
    <rPh sb="0" eb="2">
      <t>キンガク</t>
    </rPh>
    <rPh sb="3" eb="5">
      <t>ゼイヌキ</t>
    </rPh>
    <phoneticPr fontId="3"/>
  </si>
  <si>
    <t>税率</t>
    <rPh sb="0" eb="2">
      <t>ゼイリツ</t>
    </rPh>
    <phoneticPr fontId="3"/>
  </si>
  <si>
    <t>非課税</t>
    <rPh sb="0" eb="3">
      <t>ヒカゼイ</t>
    </rPh>
    <phoneticPr fontId="3"/>
  </si>
  <si>
    <t>不課税</t>
    <rPh sb="0" eb="3">
      <t>フカゼイ</t>
    </rPh>
    <phoneticPr fontId="3"/>
  </si>
  <si>
    <t>-</t>
    <phoneticPr fontId="3"/>
  </si>
  <si>
    <t>軽減税率8%</t>
    <rPh sb="0" eb="4">
      <t>ケイゲンゼイリツ</t>
    </rPh>
    <phoneticPr fontId="3"/>
  </si>
  <si>
    <t>消費税</t>
    <rPh sb="0" eb="3">
      <t>ショウヒゼイ</t>
    </rPh>
    <phoneticPr fontId="3"/>
  </si>
  <si>
    <t>　10%対象</t>
    <rPh sb="4" eb="6">
      <t>タイショウ</t>
    </rPh>
    <phoneticPr fontId="3"/>
  </si>
  <si>
    <t>　8%対象</t>
    <rPh sb="3" eb="5">
      <t>タイショウ</t>
    </rPh>
    <phoneticPr fontId="3"/>
  </si>
  <si>
    <t>　軽減税率8％対象</t>
    <rPh sb="1" eb="5">
      <t>ケイゲンゼイリツ</t>
    </rPh>
    <rPh sb="7" eb="9">
      <t>タイショウ</t>
    </rPh>
    <phoneticPr fontId="3"/>
  </si>
  <si>
    <t>　非課税対象</t>
    <rPh sb="1" eb="4">
      <t>ヒカゼイ</t>
    </rPh>
    <rPh sb="4" eb="6">
      <t>タイショウ</t>
    </rPh>
    <phoneticPr fontId="3"/>
  </si>
  <si>
    <t>　不課税対象</t>
    <rPh sb="1" eb="4">
      <t>フカゼイ</t>
    </rPh>
    <rPh sb="4" eb="6">
      <t>タイショウ</t>
    </rPh>
    <phoneticPr fontId="3"/>
  </si>
  <si>
    <t>品名</t>
    <rPh sb="0" eb="1">
      <t>ヒン</t>
    </rPh>
    <rPh sb="1" eb="2">
      <t>ナ</t>
    </rPh>
    <phoneticPr fontId="3"/>
  </si>
  <si>
    <t>太陽シルバーサービス株式会社</t>
    <rPh sb="0" eb="2">
      <t>タイヨウ</t>
    </rPh>
    <rPh sb="10" eb="14">
      <t>カブシキガイシャ</t>
    </rPh>
    <phoneticPr fontId="3"/>
  </si>
  <si>
    <t>登録番号：T1290001044462</t>
    <rPh sb="0" eb="4">
      <t>トウロクバンゴウ</t>
    </rPh>
    <phoneticPr fontId="3"/>
  </si>
  <si>
    <t>御　見　積　書</t>
    <rPh sb="0" eb="1">
      <t>オ</t>
    </rPh>
    <rPh sb="2" eb="3">
      <t>ミ</t>
    </rPh>
    <rPh sb="4" eb="5">
      <t>ツミ</t>
    </rPh>
    <rPh sb="6" eb="7">
      <t>ショ</t>
    </rPh>
    <phoneticPr fontId="3"/>
  </si>
  <si>
    <t>営業所</t>
    <rPh sb="0" eb="3">
      <t>エイギョウショ</t>
    </rPh>
    <phoneticPr fontId="9"/>
  </si>
  <si>
    <t>郵便番号</t>
    <rPh sb="0" eb="4">
      <t>ユウビンバンゴウ</t>
    </rPh>
    <phoneticPr fontId="9"/>
  </si>
  <si>
    <t>住所</t>
    <rPh sb="0" eb="2">
      <t>ジュウショ</t>
    </rPh>
    <phoneticPr fontId="9"/>
  </si>
  <si>
    <t>電話番号</t>
    <rPh sb="0" eb="2">
      <t>デンワ</t>
    </rPh>
    <rPh sb="2" eb="4">
      <t>バンゴウ</t>
    </rPh>
    <phoneticPr fontId="9"/>
  </si>
  <si>
    <t>FAX番号</t>
    <rPh sb="3" eb="5">
      <t>バンゴウ</t>
    </rPh>
    <phoneticPr fontId="9"/>
  </si>
  <si>
    <t>代表者</t>
    <rPh sb="0" eb="3">
      <t>ダイヒョウシャ</t>
    </rPh>
    <phoneticPr fontId="9"/>
  </si>
  <si>
    <t>小倉営業所</t>
    <rPh sb="0" eb="5">
      <t>コク</t>
    </rPh>
    <phoneticPr fontId="10"/>
  </si>
  <si>
    <t>802-0011</t>
  </si>
  <si>
    <t>森口　賢一</t>
    <rPh sb="0" eb="2">
      <t>モリグチ</t>
    </rPh>
    <rPh sb="3" eb="5">
      <t>ケンイチ</t>
    </rPh>
    <phoneticPr fontId="10"/>
  </si>
  <si>
    <t>小倉南営業所</t>
    <rPh sb="0" eb="6">
      <t>ナン</t>
    </rPh>
    <phoneticPr fontId="10"/>
  </si>
  <si>
    <t>800-0226</t>
  </si>
  <si>
    <t>串山　清彦</t>
    <rPh sb="0" eb="2">
      <t>クシヤマ</t>
    </rPh>
    <rPh sb="3" eb="5">
      <t>キヨヒコ</t>
    </rPh>
    <phoneticPr fontId="11"/>
  </si>
  <si>
    <t>八幡西営業所</t>
    <rPh sb="0" eb="6">
      <t>ニシ</t>
    </rPh>
    <phoneticPr fontId="10"/>
  </si>
  <si>
    <t>807-0815</t>
  </si>
  <si>
    <t>福本　浩史</t>
    <rPh sb="0" eb="2">
      <t>フクモト</t>
    </rPh>
    <rPh sb="3" eb="5">
      <t>コウジ</t>
    </rPh>
    <phoneticPr fontId="10"/>
  </si>
  <si>
    <t>八幡東営業所</t>
    <rPh sb="0" eb="6">
      <t>ヒガシ</t>
    </rPh>
    <phoneticPr fontId="10"/>
  </si>
  <si>
    <t>805-0033</t>
  </si>
  <si>
    <t>兼重　陽介</t>
    <rPh sb="0" eb="2">
      <t>カネシゲ</t>
    </rPh>
    <rPh sb="3" eb="5">
      <t>ヨウスケ</t>
    </rPh>
    <phoneticPr fontId="10"/>
  </si>
  <si>
    <t>行橋営業所</t>
    <rPh sb="0" eb="2">
      <t>ユクハシ</t>
    </rPh>
    <rPh sb="2" eb="5">
      <t>エイギョウショ</t>
    </rPh>
    <phoneticPr fontId="12"/>
  </si>
  <si>
    <t>824-0043</t>
  </si>
  <si>
    <t>福岡県行橋市大字流末1327番地</t>
    <rPh sb="0" eb="2">
      <t>フクオカ</t>
    </rPh>
    <rPh sb="2" eb="3">
      <t>ケン</t>
    </rPh>
    <rPh sb="3" eb="5">
      <t>ユクハシ</t>
    </rPh>
    <phoneticPr fontId="12"/>
  </si>
  <si>
    <t>久保　匠史</t>
    <rPh sb="0" eb="2">
      <t>クボ</t>
    </rPh>
    <phoneticPr fontId="3"/>
  </si>
  <si>
    <t>826-0042</t>
  </si>
  <si>
    <t>早崎　勝</t>
  </si>
  <si>
    <t>田川営業所</t>
    <rPh sb="0" eb="2">
      <t>タガワ</t>
    </rPh>
    <rPh sb="2" eb="5">
      <t>エイギョウショ</t>
    </rPh>
    <phoneticPr fontId="13"/>
  </si>
  <si>
    <t>飯塚営業所</t>
    <rPh sb="0" eb="2">
      <t>イイヅカ</t>
    </rPh>
    <rPh sb="2" eb="5">
      <t>エイギョウショ</t>
    </rPh>
    <phoneticPr fontId="3"/>
  </si>
  <si>
    <t>820-0081</t>
  </si>
  <si>
    <t>福岡県飯塚市枝国510番地7</t>
    <rPh sb="0" eb="2">
      <t>フクオカ</t>
    </rPh>
    <rPh sb="2" eb="3">
      <t>ケン</t>
    </rPh>
    <phoneticPr fontId="3"/>
  </si>
  <si>
    <t>佐藤　正仁</t>
    <rPh sb="0" eb="2">
      <t>サトウ</t>
    </rPh>
    <rPh sb="3" eb="5">
      <t>マサヒト</t>
    </rPh>
    <phoneticPr fontId="10"/>
  </si>
  <si>
    <t>福岡南営業所</t>
    <rPh sb="0" eb="6">
      <t>ミナミ</t>
    </rPh>
    <phoneticPr fontId="10"/>
  </si>
  <si>
    <t>816-0912</t>
  </si>
  <si>
    <t>神谷　大輔</t>
    <rPh sb="0" eb="2">
      <t>コウヤ</t>
    </rPh>
    <rPh sb="3" eb="5">
      <t>ダイスケ</t>
    </rPh>
    <phoneticPr fontId="10"/>
  </si>
  <si>
    <t>福岡西営業所</t>
    <rPh sb="0" eb="6">
      <t>ニシ</t>
    </rPh>
    <phoneticPr fontId="10"/>
  </si>
  <si>
    <t>814-0032</t>
  </si>
  <si>
    <t>佐藤　正和</t>
    <rPh sb="0" eb="2">
      <t>サトウ</t>
    </rPh>
    <rPh sb="3" eb="5">
      <t>マサカズ</t>
    </rPh>
    <phoneticPr fontId="13"/>
  </si>
  <si>
    <t>福岡東営業所</t>
    <rPh sb="0" eb="6">
      <t>トウ</t>
    </rPh>
    <phoneticPr fontId="12"/>
  </si>
  <si>
    <t>812-0064</t>
  </si>
  <si>
    <t>岡本　将臣</t>
    <rPh sb="0" eb="2">
      <t>オカモト</t>
    </rPh>
    <rPh sb="3" eb="5">
      <t>マサオミ</t>
    </rPh>
    <phoneticPr fontId="11"/>
  </si>
  <si>
    <t>久留米営業所</t>
    <rPh sb="0" eb="6">
      <t>クル</t>
    </rPh>
    <phoneticPr fontId="10"/>
  </si>
  <si>
    <t>838-0814</t>
  </si>
  <si>
    <t>牟田　知広</t>
    <rPh sb="0" eb="2">
      <t>ムタ</t>
    </rPh>
    <rPh sb="3" eb="5">
      <t>シヒロ</t>
    </rPh>
    <phoneticPr fontId="11"/>
  </si>
  <si>
    <t>大牟田営業所</t>
    <rPh sb="0" eb="6">
      <t>オオム</t>
    </rPh>
    <phoneticPr fontId="10"/>
  </si>
  <si>
    <t>837-0924</t>
  </si>
  <si>
    <t>橋本　浩志</t>
  </si>
  <si>
    <t>佐賀営業所</t>
    <rPh sb="0" eb="5">
      <t>サガ</t>
    </rPh>
    <phoneticPr fontId="10"/>
  </si>
  <si>
    <t>849-0937</t>
    <phoneticPr fontId="3"/>
  </si>
  <si>
    <t>佐賀県佐賀市鍋島5丁目4-15</t>
    <rPh sb="3" eb="6">
      <t>サガシ</t>
    </rPh>
    <rPh sb="6" eb="8">
      <t>ナベシマ</t>
    </rPh>
    <rPh sb="9" eb="11">
      <t>チョウメ</t>
    </rPh>
    <phoneticPr fontId="3"/>
  </si>
  <si>
    <t>江口　嘉一</t>
  </si>
  <si>
    <t>長崎営業所</t>
    <rPh sb="0" eb="5">
      <t>ナガ</t>
    </rPh>
    <phoneticPr fontId="10"/>
  </si>
  <si>
    <t>851-0122</t>
  </si>
  <si>
    <t>吉本　幸治</t>
    <rPh sb="0" eb="2">
      <t>ヨシモト</t>
    </rPh>
    <rPh sb="3" eb="5">
      <t>コウジ</t>
    </rPh>
    <phoneticPr fontId="11"/>
  </si>
  <si>
    <t>大村営業所</t>
    <rPh sb="0" eb="2">
      <t>オオムラ</t>
    </rPh>
    <rPh sb="2" eb="5">
      <t>エイギョウショ</t>
    </rPh>
    <phoneticPr fontId="10"/>
  </si>
  <si>
    <t>856-0844</t>
  </si>
  <si>
    <t>山口　喜世史</t>
    <rPh sb="0" eb="2">
      <t>ヤマグチ</t>
    </rPh>
    <rPh sb="3" eb="4">
      <t>キ</t>
    </rPh>
    <rPh sb="4" eb="5">
      <t>ヨ</t>
    </rPh>
    <rPh sb="5" eb="6">
      <t>シ</t>
    </rPh>
    <phoneticPr fontId="11"/>
  </si>
  <si>
    <t>壱岐営業所</t>
    <rPh sb="0" eb="5">
      <t>イキ</t>
    </rPh>
    <phoneticPr fontId="10"/>
  </si>
  <si>
    <t>811-5117</t>
  </si>
  <si>
    <t>長岡　計治</t>
  </si>
  <si>
    <t>熊本営業所</t>
    <rPh sb="0" eb="5">
      <t>クマ</t>
    </rPh>
    <phoneticPr fontId="10"/>
  </si>
  <si>
    <t>862-0945</t>
  </si>
  <si>
    <t>城戸　健</t>
    <rPh sb="0" eb="2">
      <t>キド</t>
    </rPh>
    <rPh sb="3" eb="4">
      <t>タケシ</t>
    </rPh>
    <phoneticPr fontId="3"/>
  </si>
  <si>
    <t>熊本北営業所</t>
    <rPh sb="0" eb="6">
      <t>キタ</t>
    </rPh>
    <phoneticPr fontId="10"/>
  </si>
  <si>
    <t>861-5517</t>
  </si>
  <si>
    <t>髙木　伸基</t>
    <rPh sb="0" eb="2">
      <t>タカギ</t>
    </rPh>
    <rPh sb="3" eb="5">
      <t>ノブキ</t>
    </rPh>
    <phoneticPr fontId="13"/>
  </si>
  <si>
    <t>大分営業所</t>
    <rPh sb="0" eb="5">
      <t>オオイ</t>
    </rPh>
    <phoneticPr fontId="10"/>
  </si>
  <si>
    <t>870-0142</t>
  </si>
  <si>
    <t>山下　厚</t>
    <rPh sb="0" eb="2">
      <t>ヤマシタ</t>
    </rPh>
    <rPh sb="3" eb="4">
      <t>アツシ</t>
    </rPh>
    <phoneticPr fontId="3"/>
  </si>
  <si>
    <t>福岡県北九州市小倉北区重住3丁目11-21</t>
  </si>
  <si>
    <t>福岡県北九州市小倉南区田原新町1-3-34</t>
    <rPh sb="0" eb="2">
      <t>フクオカ</t>
    </rPh>
    <rPh sb="2" eb="3">
      <t>ケン</t>
    </rPh>
    <rPh sb="3" eb="7">
      <t>キタキュウシュウシ</t>
    </rPh>
    <rPh sb="7" eb="11">
      <t>コクラミナミク</t>
    </rPh>
    <rPh sb="11" eb="15">
      <t>タハラシンマチ</t>
    </rPh>
    <phoneticPr fontId="10"/>
  </si>
  <si>
    <t>福岡県北九州市八幡東区山路松尾町14-6</t>
    <phoneticPr fontId="3"/>
  </si>
  <si>
    <t>福岡県田川市大字川宮1200番地</t>
    <phoneticPr fontId="3"/>
  </si>
  <si>
    <t>福岡県福岡市東区松田3丁目25-2</t>
    <phoneticPr fontId="3"/>
  </si>
  <si>
    <t>福岡県大牟田市歴木446-1</t>
    <rPh sb="0" eb="3">
      <t>フクオカケン</t>
    </rPh>
    <rPh sb="3" eb="7">
      <t>オオムタシ</t>
    </rPh>
    <rPh sb="7" eb="8">
      <t>レキ</t>
    </rPh>
    <rPh sb="8" eb="9">
      <t>キ</t>
    </rPh>
    <phoneticPr fontId="10"/>
  </si>
  <si>
    <t>福岡県北九州市八幡西区本城東2-4-8</t>
    <phoneticPr fontId="3"/>
  </si>
  <si>
    <t>福岡県大野城市御笠川2-10-15</t>
    <phoneticPr fontId="10"/>
  </si>
  <si>
    <t>福岡県福岡市早良区小田部4-11-31</t>
    <rPh sb="0" eb="3">
      <t>フクオカケン</t>
    </rPh>
    <rPh sb="3" eb="6">
      <t>フクオカシ</t>
    </rPh>
    <rPh sb="6" eb="9">
      <t>サワラク</t>
    </rPh>
    <rPh sb="9" eb="12">
      <t>オタベ</t>
    </rPh>
    <phoneticPr fontId="10"/>
  </si>
  <si>
    <t>福岡県朝倉郡筑前町高田585-1</t>
    <phoneticPr fontId="10"/>
  </si>
  <si>
    <t>長崎県長崎市界2丁目2-4</t>
    <rPh sb="0" eb="2">
      <t>ナガサキ</t>
    </rPh>
    <rPh sb="2" eb="3">
      <t>ケン</t>
    </rPh>
    <phoneticPr fontId="12"/>
  </si>
  <si>
    <t>長崎県大村市溝陸町643-1</t>
    <rPh sb="3" eb="6">
      <t>オオムラシ</t>
    </rPh>
    <rPh sb="6" eb="7">
      <t>ミゾ</t>
    </rPh>
    <rPh sb="7" eb="8">
      <t>リク</t>
    </rPh>
    <rPh sb="8" eb="9">
      <t>マチ</t>
    </rPh>
    <phoneticPr fontId="10"/>
  </si>
  <si>
    <t>長崎県壱岐市郷ノ浦町田中触1078</t>
    <rPh sb="6" eb="7">
      <t>ゴウ</t>
    </rPh>
    <rPh sb="8" eb="9">
      <t>ウラ</t>
    </rPh>
    <rPh sb="9" eb="10">
      <t>マチ</t>
    </rPh>
    <rPh sb="10" eb="12">
      <t>タナカ</t>
    </rPh>
    <rPh sb="12" eb="13">
      <t>サワ</t>
    </rPh>
    <phoneticPr fontId="10"/>
  </si>
  <si>
    <t>熊本県熊本市東区画図町大字下無田1432-22</t>
    <rPh sb="0" eb="3">
      <t>クマモトケン</t>
    </rPh>
    <rPh sb="3" eb="6">
      <t>クマモトシ</t>
    </rPh>
    <rPh sb="6" eb="8">
      <t>ヒガシク</t>
    </rPh>
    <rPh sb="8" eb="10">
      <t>エズ</t>
    </rPh>
    <rPh sb="10" eb="11">
      <t>マチ</t>
    </rPh>
    <rPh sb="11" eb="13">
      <t>オオアザ</t>
    </rPh>
    <rPh sb="13" eb="14">
      <t>シモ</t>
    </rPh>
    <rPh sb="14" eb="15">
      <t>ナシ</t>
    </rPh>
    <rPh sb="15" eb="16">
      <t>タ</t>
    </rPh>
    <phoneticPr fontId="10"/>
  </si>
  <si>
    <t>熊本県熊本市北区鶴羽田1-10-7</t>
    <rPh sb="0" eb="3">
      <t>クマモトケン</t>
    </rPh>
    <rPh sb="3" eb="6">
      <t>クマモトシ</t>
    </rPh>
    <rPh sb="6" eb="8">
      <t>キタク</t>
    </rPh>
    <rPh sb="8" eb="9">
      <t>ツル</t>
    </rPh>
    <rPh sb="9" eb="11">
      <t>ハタ</t>
    </rPh>
    <phoneticPr fontId="10"/>
  </si>
  <si>
    <t>大分県大分市三川下2-7-8</t>
    <phoneticPr fontId="3"/>
  </si>
  <si>
    <t>093-952-1616</t>
  </si>
  <si>
    <t>093-952-1627</t>
  </si>
  <si>
    <t>093-474-5670</t>
  </si>
  <si>
    <t>093-474-5671</t>
  </si>
  <si>
    <t>093-603-3512</t>
  </si>
  <si>
    <t>093-601-3593</t>
  </si>
  <si>
    <t>093-654-8515</t>
  </si>
  <si>
    <t>093-654-8516</t>
  </si>
  <si>
    <t>0930-26-9640</t>
  </si>
  <si>
    <t>0930-26-9641</t>
  </si>
  <si>
    <t>0947-44-1895</t>
  </si>
  <si>
    <t>0947-44-2372</t>
  </si>
  <si>
    <t>0948-52-6360</t>
  </si>
  <si>
    <t>0948-52-6362</t>
  </si>
  <si>
    <t>092-504-9810</t>
  </si>
  <si>
    <t>092-504-9811</t>
  </si>
  <si>
    <t>092-833-0131</t>
  </si>
  <si>
    <t>092-833-0132</t>
  </si>
  <si>
    <t>092-627-1150</t>
  </si>
  <si>
    <t>092-627-1151</t>
  </si>
  <si>
    <t>0946-21-5355</t>
  </si>
  <si>
    <t>0946-21-5356</t>
  </si>
  <si>
    <t>0944-59-1488</t>
  </si>
  <si>
    <t>0944-59-1481</t>
  </si>
  <si>
    <t>0952-34-1224</t>
  </si>
  <si>
    <t>0952-34-1225</t>
  </si>
  <si>
    <t>095-834-0535</t>
  </si>
  <si>
    <t>095-834-0536</t>
  </si>
  <si>
    <t>0957-49-6222</t>
  </si>
  <si>
    <t>0957-49-6333</t>
  </si>
  <si>
    <t>0920-47-9005</t>
  </si>
  <si>
    <t>0920-47-9006</t>
  </si>
  <si>
    <t>096-377-7630</t>
  </si>
  <si>
    <t>096-377-7631</t>
  </si>
  <si>
    <t>096-341-5765</t>
  </si>
  <si>
    <t>096-341-5766</t>
  </si>
  <si>
    <t>097-555-9684</t>
  </si>
  <si>
    <t>097-555-9685</t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</si>
  <si>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3"/>
  </si>
  <si>
    <t>件名</t>
    <rPh sb="0" eb="2">
      <t>ケンメイ</t>
    </rPh>
    <phoneticPr fontId="3"/>
  </si>
  <si>
    <t>お支払条件</t>
    <rPh sb="1" eb="3">
      <t>シハラ</t>
    </rPh>
    <rPh sb="3" eb="5">
      <t>ジョウケン</t>
    </rPh>
    <phoneticPr fontId="3"/>
  </si>
  <si>
    <t>備　　考</t>
    <rPh sb="0" eb="1">
      <t>ビ</t>
    </rPh>
    <rPh sb="3" eb="4">
      <t>コウ</t>
    </rPh>
    <phoneticPr fontId="3"/>
  </si>
  <si>
    <t>御見積合計</t>
    <rPh sb="0" eb="3">
      <t>オミツモリ</t>
    </rPh>
    <rPh sb="3" eb="5">
      <t>ゴウケイ</t>
    </rPh>
    <phoneticPr fontId="3"/>
  </si>
  <si>
    <t>※※消費税について※※</t>
    <rPh sb="2" eb="5">
      <t>ショウヒゼイ</t>
    </rPh>
    <phoneticPr fontId="3"/>
  </si>
  <si>
    <t>　請求時にインボイス制度に基づいた消費税の</t>
    <rPh sb="1" eb="3">
      <t>セイキュウ</t>
    </rPh>
    <rPh sb="3" eb="4">
      <t>ジ</t>
    </rPh>
    <rPh sb="10" eb="12">
      <t>セイド</t>
    </rPh>
    <rPh sb="13" eb="14">
      <t>モト</t>
    </rPh>
    <rPh sb="17" eb="20">
      <t>ショウヒゼイ</t>
    </rPh>
    <phoneticPr fontId="3"/>
  </si>
  <si>
    <t>　再計算を行い、ご請求させていただきます。</t>
    <rPh sb="9" eb="11">
      <t>セイキュウ</t>
    </rPh>
    <phoneticPr fontId="3"/>
  </si>
  <si>
    <t>・左記の消費税は参考となります。</t>
    <rPh sb="1" eb="3">
      <t>サキ</t>
    </rPh>
    <rPh sb="4" eb="7">
      <t>ショウヒゼイ</t>
    </rPh>
    <rPh sb="8" eb="10">
      <t>サンコウ</t>
    </rPh>
    <phoneticPr fontId="3"/>
  </si>
  <si>
    <t>見積有効期限</t>
    <rPh sb="0" eb="2">
      <t>ミツモ</t>
    </rPh>
    <rPh sb="2" eb="4">
      <t>ユウコウ</t>
    </rPh>
    <rPh sb="4" eb="6">
      <t>キゲン</t>
    </rPh>
    <phoneticPr fontId="3"/>
  </si>
  <si>
    <t>次回見積もり迄</t>
    <phoneticPr fontId="3"/>
  </si>
  <si>
    <t>ご相談のうえ</t>
    <rPh sb="1" eb="3">
      <t>ソウダン</t>
    </rPh>
    <phoneticPr fontId="3"/>
  </si>
  <si>
    <t>№　1　　　　</t>
    <phoneticPr fontId="3"/>
  </si>
  <si>
    <t>円</t>
    <rPh sb="0" eb="1">
      <t>エン</t>
    </rPh>
    <phoneticPr fontId="3"/>
  </si>
  <si>
    <t>金額(税抜)</t>
    <rPh sb="0" eb="2">
      <t>キンガク</t>
    </rPh>
    <rPh sb="2" eb="6">
      <t>ゼイヌキ</t>
    </rPh>
    <phoneticPr fontId="3"/>
  </si>
  <si>
    <t>　　　　様</t>
    <rPh sb="4" eb="5">
      <t>サマ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</si>
</sst>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;\-#,##0;&quot;-&quot;"/>
    <numFmt numFmtId="177" formatCode="#,##0;&quot;▲ &quot;#,##0"/>
    <numFmt numFmtId="178" formatCode="[$-F800]dddd\,\ mmmm\ dd\,\ yyyy"/>
  </numFmts>
  <fonts count="34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sz val="14"/>
      <name val="ＭＳ ゴシック"/>
      <family val="3"/>
      <charset val="128"/>
    </font>
    <font>
      <sz val="10"/>
      <color indexed="53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name val="Arial"/>
      <family val="2"/>
    </font>
    <font>
      <sz val="9"/>
      <color indexed="81"/>
      <name val="MS P ゴシック"/>
      <family val="3"/>
      <charset val="128"/>
    </font>
    <font>
      <sz val="11"/>
      <name val="BIZ UDP明朝 Medium"/>
      <family val="1"/>
      <charset val="128"/>
    </font>
    <font>
      <u/>
      <sz val="10"/>
      <name val="BIZ UDP明朝 Medium"/>
      <family val="1"/>
      <charset val="128"/>
    </font>
    <font>
      <b/>
      <sz val="11"/>
      <name val="BIZ UDP明朝 Medium"/>
      <family val="1"/>
      <charset val="128"/>
    </font>
    <font>
      <sz val="10"/>
      <name val="BIZ UDP明朝 Medium"/>
      <family val="1"/>
      <charset val="128"/>
    </font>
    <font>
      <b/>
      <sz val="10"/>
      <name val="BIZ UDP明朝 Medium"/>
      <family val="1"/>
      <charset val="128"/>
    </font>
    <font>
      <sz val="9"/>
      <color theme="1"/>
      <name val="BIZ UDP明朝 Medium"/>
      <family val="1"/>
      <charset val="128"/>
    </font>
    <font>
      <sz val="10"/>
      <color theme="1"/>
      <name val="BIZ UDP明朝 Medium"/>
      <family val="1"/>
      <charset val="128"/>
    </font>
    <font>
      <sz val="11"/>
      <color theme="1"/>
      <name val="BIZ UDP明朝 Medium"/>
      <family val="1"/>
      <charset val="128"/>
    </font>
    <font>
      <b/>
      <sz val="11"/>
      <color theme="1"/>
      <name val="BIZ UDP明朝 Medium"/>
      <family val="1"/>
      <charset val="128"/>
    </font>
    <font>
      <sz val="9"/>
      <name val="BIZ UDP明朝 Medium"/>
      <family val="1"/>
      <charset val="128"/>
    </font>
    <font>
      <b/>
      <sz val="16"/>
      <name val="BIZ UDP明朝 Medium"/>
      <family val="1"/>
      <charset val="128"/>
    </font>
    <font>
      <b/>
      <sz val="22"/>
      <name val="BIZ UDP明朝 Medium"/>
      <family val="1"/>
      <charset val="128"/>
    </font>
    <font>
      <sz val="20"/>
      <name val="BIZ UDP明朝 Medium"/>
      <family val="1"/>
      <charset val="128"/>
    </font>
    <font>
      <b/>
      <sz val="18"/>
      <name val="BIZ UDP明朝 Medium"/>
      <family val="1"/>
      <charset val="128"/>
    </font>
    <font>
      <b/>
      <sz val="20"/>
      <name val="BIZ UDP明朝 Medium"/>
      <family val="1"/>
      <charset val="128"/>
    </font>
    <font>
      <b/>
      <sz val="14"/>
      <color rgb="FFFF0000"/>
      <name val="BIZ UDP明朝 Medium"/>
      <family val="1"/>
      <charset val="128"/>
    </font>
    <font>
      <sz val="14"/>
      <name val="BIZ UDP明朝 Medium"/>
      <family val="1"/>
      <charset val="128"/>
    </font>
    <font>
      <sz val="12"/>
      <name val="BIZ UDP明朝 Medium"/>
      <family val="1"/>
      <charset val="128"/>
    </font>
    <font>
      <sz val="11"/>
      <name val="BIZ UDP明朝 Medium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DDEEF9"/>
        <bgColor indexed="64"/>
      </patternFill>
    </fill>
  </fills>
  <borders count="10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medium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auto="1"/>
      </bottom>
      <diagonal/>
    </border>
    <border>
      <left/>
      <right/>
      <top style="hair">
        <color indexed="64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</borders>
  <cellStyleXfs count="9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176" fontId="4" fillId="0" borderId="0" applyFill="0" applyBorder="0" applyAlignment="0"/>
    <xf numFmtId="0" fontId="5" fillId="0" borderId="9" applyNumberFormat="0" applyAlignment="0" applyProtection="0">
      <alignment horizontal="left" vertical="center"/>
    </xf>
    <xf numFmtId="0" fontId="5" fillId="0" borderId="7">
      <alignment horizontal="left" vertical="center"/>
    </xf>
    <xf numFmtId="0" fontId="6" fillId="0" borderId="0"/>
    <xf numFmtId="0" fontId="7" fillId="0" borderId="0">
      <alignment vertical="center"/>
    </xf>
    <xf numFmtId="0" fontId="2" fillId="0" borderId="0"/>
    <xf numFmtId="0" fontId="1" fillId="0" borderId="0">
      <alignment vertical="center"/>
    </xf>
  </cellStyleXfs>
  <cellXfs count="222">
    <xf numFmtId="0" fontId="0" fillId="0" borderId="0" xfId="0">
      <alignment vertical="center"/>
    </xf>
    <xf numFmtId="0" fontId="8" fillId="0" borderId="36" xfId="0" applyFont="1" applyBorder="1" applyAlignment="1" applyProtection="1">
      <alignment vertical="center" shrinkToFit="1"/>
      <protection locked="0"/>
    </xf>
    <xf numFmtId="0" fontId="8" fillId="0" borderId="37" xfId="0" applyFont="1" applyBorder="1" applyAlignment="1" applyProtection="1">
      <alignment vertical="center" shrinkToFit="1"/>
      <protection locked="0"/>
    </xf>
    <xf numFmtId="0" fontId="8" fillId="0" borderId="38" xfId="0" applyFont="1" applyBorder="1" applyAlignment="1" applyProtection="1">
      <alignment vertical="center" shrinkToFit="1"/>
      <protection locked="0"/>
    </xf>
    <xf numFmtId="0" fontId="8" fillId="0" borderId="39" xfId="0" applyFont="1" applyBorder="1" applyAlignment="1" applyProtection="1">
      <alignment vertical="center" shrinkToFit="1"/>
      <protection locked="0"/>
    </xf>
    <xf numFmtId="0" fontId="8" fillId="0" borderId="40" xfId="0" applyFont="1" applyBorder="1" applyAlignment="1" applyProtection="1">
      <alignment vertical="center" shrinkToFit="1"/>
      <protection locked="0"/>
    </xf>
    <xf numFmtId="0" fontId="8" fillId="0" borderId="41" xfId="0" applyFont="1" applyBorder="1" applyAlignment="1" applyProtection="1">
      <alignment shrinkToFit="1"/>
      <protection locked="0"/>
    </xf>
    <xf numFmtId="0" fontId="8" fillId="0" borderId="27" xfId="0" applyFont="1" applyBorder="1" applyAlignment="1" applyProtection="1">
      <alignment shrinkToFit="1"/>
      <protection locked="0"/>
    </xf>
    <xf numFmtId="0" fontId="8" fillId="0" borderId="15" xfId="0" applyFont="1" applyBorder="1" applyAlignment="1" applyProtection="1">
      <alignment shrinkToFit="1"/>
      <protection locked="0"/>
    </xf>
    <xf numFmtId="0" fontId="8" fillId="0" borderId="42" xfId="0" applyFont="1" applyBorder="1" applyAlignment="1" applyProtection="1">
      <alignment shrinkToFit="1"/>
      <protection locked="0"/>
    </xf>
    <xf numFmtId="0" fontId="8" fillId="0" borderId="43" xfId="0" applyFont="1" applyBorder="1" applyAlignment="1" applyProtection="1">
      <alignment shrinkToFit="1"/>
      <protection locked="0"/>
    </xf>
    <xf numFmtId="0" fontId="8" fillId="0" borderId="29" xfId="0" applyFont="1" applyBorder="1" applyAlignment="1" applyProtection="1">
      <alignment shrinkToFit="1"/>
      <protection locked="0"/>
    </xf>
    <xf numFmtId="0" fontId="8" fillId="0" borderId="44" xfId="0" applyFont="1" applyBorder="1" applyAlignment="1" applyProtection="1">
      <alignment shrinkToFit="1"/>
      <protection locked="0"/>
    </xf>
    <xf numFmtId="0" fontId="8" fillId="0" borderId="45" xfId="0" applyFont="1" applyBorder="1" applyAlignment="1" applyProtection="1">
      <alignment shrinkToFit="1"/>
      <protection locked="0"/>
    </xf>
    <xf numFmtId="0" fontId="8" fillId="0" borderId="46" xfId="0" applyFont="1" applyBorder="1" applyAlignment="1" applyProtection="1">
      <alignment shrinkToFit="1"/>
      <protection locked="0"/>
    </xf>
    <xf numFmtId="0" fontId="8" fillId="0" borderId="47" xfId="0" applyFont="1" applyBorder="1" applyAlignment="1" applyProtection="1">
      <alignment shrinkToFit="1"/>
      <protection locked="0"/>
    </xf>
    <xf numFmtId="0" fontId="8" fillId="0" borderId="18" xfId="0" applyFont="1" applyBorder="1" applyAlignment="1" applyProtection="1">
      <alignment shrinkToFit="1"/>
      <protection locked="0"/>
    </xf>
    <xf numFmtId="0" fontId="8" fillId="0" borderId="48" xfId="0" applyFont="1" applyBorder="1" applyAlignment="1" applyProtection="1">
      <alignment shrinkToFit="1"/>
      <protection locked="0"/>
    </xf>
    <xf numFmtId="0" fontId="8" fillId="0" borderId="49" xfId="0" applyFont="1" applyBorder="1" applyAlignment="1" applyProtection="1">
      <alignment shrinkToFit="1"/>
      <protection locked="0"/>
    </xf>
    <xf numFmtId="0" fontId="8" fillId="0" borderId="28" xfId="0" applyFont="1" applyBorder="1" applyAlignment="1" applyProtection="1">
      <alignment shrinkToFit="1"/>
      <protection locked="0"/>
    </xf>
    <xf numFmtId="0" fontId="8" fillId="0" borderId="50" xfId="0" applyFont="1" applyBorder="1" applyAlignment="1" applyProtection="1">
      <alignment shrinkToFit="1"/>
      <protection locked="0"/>
    </xf>
    <xf numFmtId="0" fontId="8" fillId="0" borderId="32" xfId="0" applyFont="1" applyBorder="1" applyAlignment="1" applyProtection="1">
      <alignment shrinkToFit="1"/>
      <protection locked="0"/>
    </xf>
    <xf numFmtId="0" fontId="8" fillId="0" borderId="51" xfId="0" applyFont="1" applyBorder="1" applyAlignment="1" applyProtection="1">
      <alignment shrinkToFit="1"/>
      <protection locked="0"/>
    </xf>
    <xf numFmtId="0" fontId="8" fillId="0" borderId="17" xfId="0" applyFont="1" applyBorder="1" applyAlignment="1" applyProtection="1">
      <alignment shrinkToFit="1"/>
      <protection locked="0"/>
    </xf>
    <xf numFmtId="0" fontId="8" fillId="0" borderId="19" xfId="0" applyFont="1" applyBorder="1" applyAlignment="1" applyProtection="1">
      <alignment shrinkToFit="1"/>
      <protection locked="0"/>
    </xf>
    <xf numFmtId="0" fontId="8" fillId="0" borderId="52" xfId="0" applyFont="1" applyBorder="1" applyAlignment="1" applyProtection="1">
      <alignment shrinkToFit="1"/>
      <protection locked="0"/>
    </xf>
    <xf numFmtId="0" fontId="15" fillId="0" borderId="0" xfId="0" applyFo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31" fontId="16" fillId="0" borderId="0" xfId="0" applyNumberFormat="1" applyFont="1" applyAlignment="1" applyProtection="1">
      <alignment horizontal="right" vertical="center" indent="1"/>
      <protection locked="0"/>
    </xf>
    <xf numFmtId="0" fontId="17" fillId="0" borderId="0" xfId="0" applyFont="1" applyProtection="1">
      <alignment vertical="center"/>
      <protection locked="0"/>
    </xf>
    <xf numFmtId="0" fontId="18" fillId="0" borderId="0" xfId="0" applyFont="1" applyProtection="1">
      <alignment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15" fillId="0" borderId="0" xfId="0" applyFont="1">
      <alignment vertical="center"/>
    </xf>
    <xf numFmtId="0" fontId="18" fillId="0" borderId="0" xfId="0" applyFont="1">
      <alignment vertical="center"/>
    </xf>
    <xf numFmtId="0" fontId="15" fillId="2" borderId="15" xfId="0" applyFont="1" applyFill="1" applyBorder="1" applyAlignment="1">
      <alignment horizontal="center" vertical="center" shrinkToFit="1"/>
    </xf>
    <xf numFmtId="0" fontId="15" fillId="2" borderId="16" xfId="0" applyFont="1" applyFill="1" applyBorder="1" applyAlignment="1">
      <alignment horizontal="center" vertical="center" shrinkToFit="1"/>
    </xf>
    <xf numFmtId="0" fontId="15" fillId="2" borderId="9" xfId="0" applyFont="1" applyFill="1" applyBorder="1" applyAlignment="1">
      <alignment horizontal="center" vertical="center" shrinkToFit="1"/>
    </xf>
    <xf numFmtId="0" fontId="15" fillId="2" borderId="22" xfId="0" applyFont="1" applyFill="1" applyBorder="1" applyAlignment="1">
      <alignment horizontal="center" vertical="center" shrinkToFit="1"/>
    </xf>
    <xf numFmtId="0" fontId="15" fillId="0" borderId="13" xfId="0" applyFont="1" applyBorder="1" applyAlignment="1" applyProtection="1">
      <alignment vertical="center" shrinkToFit="1"/>
      <protection locked="0"/>
    </xf>
    <xf numFmtId="0" fontId="15" fillId="0" borderId="11" xfId="0" applyFont="1" applyBorder="1" applyAlignment="1" applyProtection="1">
      <alignment horizontal="center" vertical="center" shrinkToFit="1"/>
      <protection locked="0"/>
    </xf>
    <xf numFmtId="177" fontId="15" fillId="0" borderId="15" xfId="0" applyNumberFormat="1" applyFont="1" applyBorder="1" applyAlignment="1" applyProtection="1">
      <alignment vertical="center" shrinkToFit="1"/>
      <protection locked="0"/>
    </xf>
    <xf numFmtId="177" fontId="15" fillId="0" borderId="15" xfId="0" applyNumberFormat="1" applyFont="1" applyBorder="1" applyAlignment="1">
      <alignment vertical="center" shrinkToFit="1"/>
    </xf>
    <xf numFmtId="9" fontId="15" fillId="0" borderId="17" xfId="0" applyNumberFormat="1" applyFont="1" applyBorder="1" applyAlignment="1" applyProtection="1">
      <alignment horizontal="center" vertical="center" shrinkToFit="1"/>
      <protection locked="0"/>
    </xf>
    <xf numFmtId="177" fontId="15" fillId="0" borderId="12" xfId="0" applyNumberFormat="1" applyFont="1" applyBorder="1" applyAlignment="1">
      <alignment vertical="center" shrinkToFit="1"/>
    </xf>
    <xf numFmtId="177" fontId="15" fillId="0" borderId="15" xfId="1" applyNumberFormat="1" applyFont="1" applyFill="1" applyBorder="1" applyAlignment="1" applyProtection="1">
      <alignment vertical="center" shrinkToFit="1"/>
      <protection locked="0"/>
    </xf>
    <xf numFmtId="9" fontId="15" fillId="0" borderId="17" xfId="1" applyNumberFormat="1" applyFont="1" applyFill="1" applyBorder="1" applyAlignment="1" applyProtection="1">
      <alignment horizontal="center" vertical="center" shrinkToFit="1"/>
      <protection locked="0"/>
    </xf>
    <xf numFmtId="0" fontId="15" fillId="0" borderId="23" xfId="0" applyFont="1" applyBorder="1" applyAlignment="1" applyProtection="1">
      <alignment vertical="center" shrinkToFit="1"/>
      <protection locked="0"/>
    </xf>
    <xf numFmtId="0" fontId="15" fillId="0" borderId="30" xfId="0" applyFont="1" applyBorder="1" applyAlignment="1" applyProtection="1">
      <alignment horizontal="center" vertical="center" shrinkToFit="1"/>
      <protection locked="0"/>
    </xf>
    <xf numFmtId="177" fontId="15" fillId="0" borderId="18" xfId="0" applyNumberFormat="1" applyFont="1" applyBorder="1" applyAlignment="1" applyProtection="1">
      <alignment vertical="center" shrinkToFit="1"/>
      <protection locked="0"/>
    </xf>
    <xf numFmtId="9" fontId="15" fillId="0" borderId="19" xfId="0" applyNumberFormat="1" applyFont="1" applyBorder="1" applyAlignment="1" applyProtection="1">
      <alignment horizontal="center" vertical="center" shrinkToFit="1"/>
      <protection locked="0"/>
    </xf>
    <xf numFmtId="0" fontId="15" fillId="0" borderId="2" xfId="0" applyFont="1" applyBorder="1" applyProtection="1">
      <alignment vertical="center"/>
      <protection locked="0"/>
    </xf>
    <xf numFmtId="38" fontId="15" fillId="0" borderId="2" xfId="0" applyNumberFormat="1" applyFont="1" applyBorder="1" applyProtection="1">
      <alignment vertical="center"/>
      <protection locked="0"/>
    </xf>
    <xf numFmtId="38" fontId="15" fillId="0" borderId="2" xfId="1" applyFont="1" applyBorder="1" applyAlignment="1" applyProtection="1">
      <alignment horizontal="right" vertical="center"/>
      <protection locked="0"/>
    </xf>
    <xf numFmtId="0" fontId="15" fillId="0" borderId="5" xfId="0" applyFont="1" applyBorder="1" applyProtection="1">
      <alignment vertical="center"/>
      <protection locked="0"/>
    </xf>
    <xf numFmtId="38" fontId="15" fillId="0" borderId="0" xfId="0" applyNumberFormat="1" applyFont="1" applyProtection="1">
      <alignment vertical="center"/>
      <protection locked="0"/>
    </xf>
    <xf numFmtId="38" fontId="15" fillId="0" borderId="0" xfId="1" applyFont="1" applyBorder="1" applyAlignment="1" applyProtection="1">
      <alignment horizontal="right" vertical="center"/>
      <protection locked="0"/>
    </xf>
    <xf numFmtId="38" fontId="19" fillId="0" borderId="0" xfId="0" applyNumberFormat="1" applyFont="1" applyProtection="1">
      <alignment vertical="center"/>
      <protection locked="0"/>
    </xf>
    <xf numFmtId="177" fontId="17" fillId="0" borderId="0" xfId="0" applyNumberFormat="1" applyFont="1" applyProtection="1">
      <alignment vertical="center"/>
      <protection locked="0"/>
    </xf>
    <xf numFmtId="177" fontId="18" fillId="0" borderId="0" xfId="0" applyNumberFormat="1" applyFont="1" applyProtection="1">
      <alignment vertical="center"/>
      <protection locked="0"/>
    </xf>
    <xf numFmtId="0" fontId="22" fillId="0" borderId="35" xfId="0" applyFont="1" applyBorder="1" applyAlignment="1" applyProtection="1">
      <alignment horizontal="center" vertical="center"/>
      <protection locked="0"/>
    </xf>
    <xf numFmtId="0" fontId="15" fillId="0" borderId="35" xfId="0" applyFont="1" applyBorder="1" applyProtection="1">
      <alignment vertical="center"/>
      <protection locked="0"/>
    </xf>
    <xf numFmtId="3" fontId="22" fillId="0" borderId="0" xfId="0" applyNumberFormat="1" applyFont="1" applyProtection="1">
      <alignment vertical="center"/>
      <protection locked="0"/>
    </xf>
    <xf numFmtId="9" fontId="20" fillId="1" borderId="14" xfId="0" applyNumberFormat="1" applyFont="1" applyFill="1" applyBorder="1" applyAlignment="1">
      <alignment horizontal="center" vertical="center"/>
    </xf>
    <xf numFmtId="38" fontId="15" fillId="0" borderId="0" xfId="1" applyFont="1" applyAlignment="1" applyProtection="1">
      <alignment horizontal="right" vertical="center"/>
      <protection locked="0"/>
    </xf>
    <xf numFmtId="3" fontId="23" fillId="0" borderId="0" xfId="0" applyNumberFormat="1" applyFont="1" applyProtection="1">
      <alignment vertical="center"/>
      <protection locked="0"/>
    </xf>
    <xf numFmtId="38" fontId="17" fillId="0" borderId="0" xfId="1" applyFont="1" applyBorder="1" applyAlignment="1" applyProtection="1">
      <alignment horizontal="right" vertical="center"/>
      <protection locked="0"/>
    </xf>
    <xf numFmtId="9" fontId="24" fillId="1" borderId="15" xfId="0" applyNumberFormat="1" applyFont="1" applyFill="1" applyBorder="1" applyAlignment="1">
      <alignment horizontal="center" vertical="center"/>
    </xf>
    <xf numFmtId="38" fontId="15" fillId="0" borderId="0" xfId="0" applyNumberFormat="1" applyFont="1" applyAlignment="1" applyProtection="1">
      <alignment horizontal="center" vertical="center"/>
      <protection locked="0"/>
    </xf>
    <xf numFmtId="0" fontId="24" fillId="1" borderId="15" xfId="0" applyFont="1" applyFill="1" applyBorder="1" applyAlignment="1">
      <alignment horizontal="center" vertical="center"/>
    </xf>
    <xf numFmtId="38" fontId="15" fillId="0" borderId="8" xfId="1" applyFont="1" applyBorder="1" applyAlignment="1" applyProtection="1">
      <alignment horizontal="right" vertical="center"/>
      <protection locked="0"/>
    </xf>
    <xf numFmtId="38" fontId="24" fillId="1" borderId="16" xfId="0" applyNumberFormat="1" applyFont="1" applyFill="1" applyBorder="1" applyAlignment="1">
      <alignment horizontal="center" vertical="center"/>
    </xf>
    <xf numFmtId="0" fontId="15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56" fontId="15" fillId="0" borderId="0" xfId="0" applyNumberFormat="1" applyFont="1" applyAlignment="1" applyProtection="1">
      <alignment horizontal="center" vertical="center" shrinkToFit="1"/>
      <protection locked="0"/>
    </xf>
    <xf numFmtId="0" fontId="15" fillId="0" borderId="0" xfId="0" applyFont="1" applyAlignment="1">
      <alignment horizontal="center" vertical="center" shrinkToFit="1"/>
    </xf>
    <xf numFmtId="0" fontId="15" fillId="2" borderId="79" xfId="0" applyFont="1" applyFill="1" applyBorder="1" applyAlignment="1">
      <alignment horizontal="center" vertical="center" shrinkToFit="1"/>
    </xf>
    <xf numFmtId="0" fontId="15" fillId="2" borderId="80" xfId="0" applyFont="1" applyFill="1" applyBorder="1" applyAlignment="1">
      <alignment horizontal="center" vertical="center" shrinkToFit="1"/>
    </xf>
    <xf numFmtId="0" fontId="15" fillId="2" borderId="81" xfId="0" applyFont="1" applyFill="1" applyBorder="1" applyAlignment="1">
      <alignment horizontal="center" vertical="center" shrinkToFit="1"/>
    </xf>
    <xf numFmtId="0" fontId="29" fillId="0" borderId="82" xfId="0" applyFont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center" indent="1"/>
    </xf>
    <xf numFmtId="0" fontId="24" fillId="0" borderId="0" xfId="0" applyFont="1" applyAlignment="1">
      <alignment horizontal="left" vertical="center" indent="1"/>
    </xf>
    <xf numFmtId="178" fontId="15" fillId="0" borderId="54" xfId="0" applyNumberFormat="1" applyFont="1" applyBorder="1" applyAlignment="1" applyProtection="1">
      <alignment vertical="center" shrinkToFit="1"/>
      <protection locked="0"/>
    </xf>
    <xf numFmtId="178" fontId="15" fillId="0" borderId="55" xfId="0" applyNumberFormat="1" applyFont="1" applyBorder="1" applyAlignment="1" applyProtection="1">
      <alignment vertical="center" shrinkToFit="1"/>
      <protection locked="0"/>
    </xf>
    <xf numFmtId="178" fontId="15" fillId="0" borderId="28" xfId="0" applyNumberFormat="1" applyFont="1" applyBorder="1" applyAlignment="1" applyProtection="1">
      <alignment vertical="center" shrinkToFit="1"/>
      <protection locked="0"/>
    </xf>
    <xf numFmtId="178" fontId="30" fillId="0" borderId="26" xfId="0" applyNumberFormat="1" applyFont="1" applyBorder="1" applyAlignment="1" applyProtection="1">
      <alignment vertical="center" shrinkToFit="1"/>
      <protection locked="0"/>
    </xf>
    <xf numFmtId="178" fontId="15" fillId="0" borderId="12" xfId="0" applyNumberFormat="1" applyFont="1" applyBorder="1" applyAlignment="1" applyProtection="1">
      <alignment vertical="center" shrinkToFit="1"/>
      <protection locked="0"/>
    </xf>
    <xf numFmtId="178" fontId="15" fillId="0" borderId="27" xfId="0" applyNumberFormat="1" applyFont="1" applyBorder="1" applyAlignment="1" applyProtection="1">
      <alignment vertical="center" shrinkToFit="1"/>
      <protection locked="0"/>
    </xf>
    <xf numFmtId="178" fontId="15" fillId="0" borderId="26" xfId="0" applyNumberFormat="1" applyFont="1" applyBorder="1" applyAlignment="1" applyProtection="1">
      <alignment vertical="center" shrinkToFit="1"/>
      <protection locked="0"/>
    </xf>
    <xf numFmtId="0" fontId="15" fillId="0" borderId="0" xfId="0" applyFont="1" applyAlignment="1">
      <alignment horizontal="left" vertical="center" indent="1"/>
    </xf>
    <xf numFmtId="31" fontId="16" fillId="0" borderId="0" xfId="0" applyNumberFormat="1" applyFont="1" applyAlignment="1" applyProtection="1">
      <alignment horizontal="right" indent="1"/>
      <protection locked="0"/>
    </xf>
    <xf numFmtId="178" fontId="18" fillId="0" borderId="26" xfId="0" applyNumberFormat="1" applyFont="1" applyBorder="1" applyAlignment="1" applyProtection="1">
      <alignment vertical="center" shrinkToFit="1"/>
      <protection locked="0"/>
    </xf>
    <xf numFmtId="178" fontId="18" fillId="0" borderId="12" xfId="0" applyNumberFormat="1" applyFont="1" applyBorder="1" applyAlignment="1" applyProtection="1">
      <alignment vertical="center" shrinkToFit="1"/>
      <protection locked="0"/>
    </xf>
    <xf numFmtId="178" fontId="18" fillId="0" borderId="27" xfId="0" applyNumberFormat="1" applyFont="1" applyBorder="1" applyAlignment="1" applyProtection="1">
      <alignment vertical="center" shrinkToFit="1"/>
      <protection locked="0"/>
    </xf>
    <xf numFmtId="0" fontId="15" fillId="2" borderId="78" xfId="0" applyFont="1" applyFill="1" applyBorder="1" applyAlignment="1">
      <alignment horizontal="center" vertical="center" shrinkToFit="1"/>
    </xf>
    <xf numFmtId="0" fontId="15" fillId="2" borderId="31" xfId="0" applyFont="1" applyFill="1" applyBorder="1" applyAlignment="1">
      <alignment horizontal="center" vertical="center" shrinkToFit="1"/>
    </xf>
    <xf numFmtId="0" fontId="15" fillId="2" borderId="43" xfId="0" applyFont="1" applyFill="1" applyBorder="1" applyAlignment="1">
      <alignment horizontal="center" vertical="center" shrinkToFit="1"/>
    </xf>
    <xf numFmtId="0" fontId="27" fillId="0" borderId="10" xfId="0" applyFont="1" applyBorder="1" applyAlignment="1" applyProtection="1">
      <alignment horizontal="center" vertical="center"/>
      <protection locked="0"/>
    </xf>
    <xf numFmtId="0" fontId="27" fillId="0" borderId="9" xfId="0" applyFont="1" applyBorder="1" applyAlignment="1" applyProtection="1">
      <alignment horizontal="center" vertical="center"/>
      <protection locked="0"/>
    </xf>
    <xf numFmtId="0" fontId="27" fillId="0" borderId="82" xfId="0" applyFont="1" applyBorder="1" applyAlignment="1" applyProtection="1">
      <alignment horizontal="center" vertical="center"/>
      <protection locked="0"/>
    </xf>
    <xf numFmtId="177" fontId="28" fillId="0" borderId="10" xfId="0" applyNumberFormat="1" applyFont="1" applyBorder="1" applyAlignment="1" applyProtection="1">
      <alignment horizontal="center" vertical="center"/>
      <protection locked="0"/>
    </xf>
    <xf numFmtId="0" fontId="28" fillId="0" borderId="9" xfId="0" applyFont="1" applyBorder="1" applyAlignment="1" applyProtection="1">
      <alignment horizontal="center" vertical="center"/>
      <protection locked="0"/>
    </xf>
    <xf numFmtId="0" fontId="20" fillId="0" borderId="29" xfId="0" applyFont="1" applyBorder="1" applyProtection="1">
      <alignment vertical="center"/>
      <protection locked="0"/>
    </xf>
    <xf numFmtId="0" fontId="20" fillId="0" borderId="27" xfId="0" applyFont="1" applyBorder="1" applyProtection="1">
      <alignment vertical="center"/>
      <protection locked="0"/>
    </xf>
    <xf numFmtId="0" fontId="20" fillId="0" borderId="33" xfId="0" applyFont="1" applyBorder="1" applyProtection="1">
      <alignment vertical="center"/>
      <protection locked="0"/>
    </xf>
    <xf numFmtId="0" fontId="20" fillId="0" borderId="34" xfId="0" applyFont="1" applyBorder="1" applyProtection="1">
      <alignment vertical="center"/>
      <protection locked="0"/>
    </xf>
    <xf numFmtId="9" fontId="20" fillId="0" borderId="20" xfId="0" applyNumberFormat="1" applyFont="1" applyBorder="1" applyProtection="1">
      <alignment vertical="center"/>
      <protection locked="0"/>
    </xf>
    <xf numFmtId="9" fontId="20" fillId="0" borderId="25" xfId="0" applyNumberFormat="1" applyFont="1" applyBorder="1" applyProtection="1">
      <alignment vertical="center"/>
      <protection locked="0"/>
    </xf>
    <xf numFmtId="9" fontId="20" fillId="0" borderId="29" xfId="0" applyNumberFormat="1" applyFont="1" applyBorder="1" applyProtection="1">
      <alignment vertical="center"/>
      <protection locked="0"/>
    </xf>
    <xf numFmtId="9" fontId="20" fillId="0" borderId="27" xfId="0" applyNumberFormat="1" applyFont="1" applyBorder="1" applyProtection="1">
      <alignment vertical="center"/>
      <protection locked="0"/>
    </xf>
    <xf numFmtId="0" fontId="15" fillId="0" borderId="8" xfId="0" applyFont="1" applyBorder="1" applyAlignment="1">
      <alignment vertical="center" shrinkToFit="1"/>
    </xf>
    <xf numFmtId="0" fontId="15" fillId="0" borderId="0" xfId="0" applyFont="1" applyAlignment="1">
      <alignment vertical="center" shrinkToFit="1"/>
    </xf>
    <xf numFmtId="0" fontId="15" fillId="0" borderId="56" xfId="0" applyFont="1" applyBorder="1" applyAlignment="1">
      <alignment vertical="center" shrinkToFit="1"/>
    </xf>
    <xf numFmtId="0" fontId="15" fillId="0" borderId="57" xfId="0" applyFont="1" applyBorder="1" applyAlignment="1">
      <alignment vertical="center" shrinkToFit="1"/>
    </xf>
    <xf numFmtId="0" fontId="15" fillId="0" borderId="53" xfId="0" applyFont="1" applyBorder="1" applyAlignment="1">
      <alignment vertical="center" shrinkToFit="1"/>
    </xf>
    <xf numFmtId="0" fontId="15" fillId="0" borderId="58" xfId="0" applyFont="1" applyBorder="1" applyAlignment="1">
      <alignment vertical="center" shrinkToFit="1"/>
    </xf>
    <xf numFmtId="177" fontId="18" fillId="0" borderId="70" xfId="0" applyNumberFormat="1" applyFont="1" applyBorder="1" applyAlignment="1">
      <alignment horizontal="right" vertical="center"/>
    </xf>
    <xf numFmtId="177" fontId="18" fillId="0" borderId="61" xfId="0" applyNumberFormat="1" applyFont="1" applyBorder="1" applyAlignment="1">
      <alignment horizontal="right" vertical="center"/>
    </xf>
    <xf numFmtId="177" fontId="18" fillId="0" borderId="70" xfId="0" applyNumberFormat="1" applyFont="1" applyBorder="1">
      <alignment vertical="center"/>
    </xf>
    <xf numFmtId="177" fontId="18" fillId="0" borderId="61" xfId="0" applyNumberFormat="1" applyFont="1" applyBorder="1">
      <alignment vertical="center"/>
    </xf>
    <xf numFmtId="177" fontId="18" fillId="0" borderId="74" xfId="0" applyNumberFormat="1" applyFont="1" applyBorder="1">
      <alignment vertical="center"/>
    </xf>
    <xf numFmtId="177" fontId="18" fillId="0" borderId="75" xfId="0" applyNumberFormat="1" applyFont="1" applyBorder="1">
      <alignment vertical="center"/>
    </xf>
    <xf numFmtId="177" fontId="17" fillId="0" borderId="77" xfId="0" applyNumberFormat="1" applyFont="1" applyBorder="1">
      <alignment vertical="center"/>
    </xf>
    <xf numFmtId="177" fontId="17" fillId="0" borderId="63" xfId="0" applyNumberFormat="1" applyFont="1" applyBorder="1">
      <alignment vertical="center"/>
    </xf>
    <xf numFmtId="177" fontId="21" fillId="0" borderId="69" xfId="0" applyNumberFormat="1" applyFont="1" applyBorder="1">
      <alignment vertical="center"/>
    </xf>
    <xf numFmtId="177" fontId="21" fillId="0" borderId="70" xfId="0" applyNumberFormat="1" applyFont="1" applyBorder="1">
      <alignment vertical="center"/>
    </xf>
    <xf numFmtId="177" fontId="21" fillId="0" borderId="73" xfId="0" applyNumberFormat="1" applyFont="1" applyBorder="1">
      <alignment vertical="center"/>
    </xf>
    <xf numFmtId="177" fontId="21" fillId="0" borderId="74" xfId="0" applyNumberFormat="1" applyFont="1" applyBorder="1">
      <alignment vertical="center"/>
    </xf>
    <xf numFmtId="177" fontId="17" fillId="0" borderId="76" xfId="0" applyNumberFormat="1" applyFont="1" applyBorder="1">
      <alignment vertical="center"/>
    </xf>
    <xf numFmtId="0" fontId="17" fillId="2" borderId="59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 wrapText="1"/>
    </xf>
    <xf numFmtId="0" fontId="17" fillId="2" borderId="60" xfId="0" applyFont="1" applyFill="1" applyBorder="1" applyAlignment="1">
      <alignment horizontal="center" vertical="center" wrapText="1"/>
    </xf>
    <xf numFmtId="0" fontId="15" fillId="0" borderId="57" xfId="0" applyFont="1" applyBorder="1" applyAlignment="1" applyProtection="1">
      <alignment horizontal="center" vertical="center" shrinkToFit="1"/>
      <protection locked="0"/>
    </xf>
    <xf numFmtId="0" fontId="15" fillId="0" borderId="53" xfId="0" applyFont="1" applyBorder="1" applyAlignment="1" applyProtection="1">
      <alignment horizontal="center" vertical="center" shrinkToFit="1"/>
      <protection locked="0"/>
    </xf>
    <xf numFmtId="0" fontId="15" fillId="0" borderId="58" xfId="0" applyFont="1" applyBorder="1" applyAlignment="1" applyProtection="1">
      <alignment horizontal="center" vertical="center" shrinkToFit="1"/>
      <protection locked="0"/>
    </xf>
    <xf numFmtId="0" fontId="15" fillId="0" borderId="8" xfId="0" applyFont="1" applyBorder="1" applyAlignment="1" applyProtection="1">
      <alignment horizontal="center" vertical="center" shrinkToFi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5" fillId="0" borderId="56" xfId="0" applyFont="1" applyBorder="1" applyAlignment="1" applyProtection="1">
      <alignment horizontal="center" vertical="center" shrinkToFit="1"/>
      <protection locked="0"/>
    </xf>
    <xf numFmtId="0" fontId="15" fillId="0" borderId="64" xfId="0" applyFont="1" applyBorder="1" applyAlignment="1" applyProtection="1">
      <alignment horizontal="center" vertical="center" shrinkToFit="1"/>
      <protection locked="0"/>
    </xf>
    <xf numFmtId="0" fontId="15" fillId="0" borderId="35" xfId="0" applyFont="1" applyBorder="1" applyAlignment="1" applyProtection="1">
      <alignment horizontal="center" vertical="center" shrinkToFit="1"/>
      <protection locked="0"/>
    </xf>
    <xf numFmtId="0" fontId="15" fillId="0" borderId="65" xfId="0" applyFont="1" applyBorder="1" applyAlignment="1" applyProtection="1">
      <alignment horizontal="center" vertical="center" shrinkToFit="1"/>
      <protection locked="0"/>
    </xf>
    <xf numFmtId="177" fontId="21" fillId="0" borderId="71" xfId="0" applyNumberFormat="1" applyFont="1" applyBorder="1">
      <alignment vertical="center"/>
    </xf>
    <xf numFmtId="177" fontId="21" fillId="0" borderId="72" xfId="0" applyNumberFormat="1" applyFont="1" applyBorder="1">
      <alignment vertical="center"/>
    </xf>
    <xf numFmtId="177" fontId="18" fillId="0" borderId="72" xfId="0" applyNumberFormat="1" applyFont="1" applyBorder="1" applyAlignment="1">
      <alignment horizontal="right" vertical="center"/>
    </xf>
    <xf numFmtId="177" fontId="18" fillId="0" borderId="62" xfId="0" applyNumberFormat="1" applyFont="1" applyBorder="1" applyAlignment="1">
      <alignment horizontal="right" vertical="center"/>
    </xf>
    <xf numFmtId="0" fontId="17" fillId="2" borderId="64" xfId="0" applyFont="1" applyFill="1" applyBorder="1" applyAlignment="1">
      <alignment horizontal="center" vertical="center" wrapText="1"/>
    </xf>
    <xf numFmtId="0" fontId="17" fillId="2" borderId="35" xfId="0" applyFont="1" applyFill="1" applyBorder="1" applyAlignment="1">
      <alignment horizontal="center" vertical="center" wrapText="1"/>
    </xf>
    <xf numFmtId="0" fontId="17" fillId="2" borderId="65" xfId="0" applyFont="1" applyFill="1" applyBorder="1" applyAlignment="1">
      <alignment horizontal="center" vertical="center" wrapText="1"/>
    </xf>
    <xf numFmtId="0" fontId="17" fillId="2" borderId="57" xfId="0" applyFont="1" applyFill="1" applyBorder="1" applyAlignment="1">
      <alignment horizontal="center" vertical="center" wrapText="1"/>
    </xf>
    <xf numFmtId="0" fontId="17" fillId="2" borderId="53" xfId="0" applyFont="1" applyFill="1" applyBorder="1" applyAlignment="1">
      <alignment horizontal="center" vertical="center" wrapText="1"/>
    </xf>
    <xf numFmtId="0" fontId="17" fillId="2" borderId="58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16" fillId="0" borderId="0" xfId="0" applyFont="1" applyAlignment="1" applyProtection="1">
      <alignment horizontal="right" indent="1"/>
      <protection locked="0"/>
    </xf>
    <xf numFmtId="0" fontId="15" fillId="0" borderId="78" xfId="0" applyFont="1" applyBorder="1" applyAlignment="1" applyProtection="1">
      <alignment horizontal="center" vertical="center" wrapText="1"/>
      <protection locked="0"/>
    </xf>
    <xf numFmtId="0" fontId="15" fillId="0" borderId="31" xfId="0" applyFont="1" applyBorder="1" applyAlignment="1" applyProtection="1">
      <alignment horizontal="center" vertical="center" wrapText="1"/>
      <protection locked="0"/>
    </xf>
    <xf numFmtId="0" fontId="15" fillId="0" borderId="43" xfId="0" applyFont="1" applyBorder="1" applyAlignment="1" applyProtection="1">
      <alignment horizontal="center" vertical="center" wrapText="1"/>
      <protection locked="0"/>
    </xf>
    <xf numFmtId="38" fontId="19" fillId="2" borderId="66" xfId="0" applyNumberFormat="1" applyFont="1" applyFill="1" applyBorder="1" applyAlignment="1">
      <alignment horizontal="center" vertical="center"/>
    </xf>
    <xf numFmtId="38" fontId="19" fillId="2" borderId="67" xfId="0" applyNumberFormat="1" applyFont="1" applyFill="1" applyBorder="1" applyAlignment="1">
      <alignment horizontal="center" vertical="center"/>
    </xf>
    <xf numFmtId="38" fontId="19" fillId="2" borderId="68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21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 shrinkToFit="1"/>
    </xf>
    <xf numFmtId="0" fontId="15" fillId="2" borderId="5" xfId="0" applyFont="1" applyFill="1" applyBorder="1" applyAlignment="1">
      <alignment horizontal="center" vertical="center" shrinkToFit="1"/>
    </xf>
    <xf numFmtId="0" fontId="15" fillId="2" borderId="24" xfId="0" applyFont="1" applyFill="1" applyBorder="1" applyAlignment="1">
      <alignment horizontal="center" vertical="center" shrinkToFit="1"/>
    </xf>
    <xf numFmtId="0" fontId="15" fillId="0" borderId="29" xfId="0" applyFont="1" applyBorder="1" applyAlignment="1" applyProtection="1">
      <alignment horizontal="center" vertical="center" shrinkToFit="1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0" fontId="15" fillId="0" borderId="27" xfId="0" applyFont="1" applyBorder="1" applyAlignment="1" applyProtection="1">
      <alignment horizontal="center" vertical="center" shrinkToFit="1"/>
      <protection locked="0"/>
    </xf>
    <xf numFmtId="56" fontId="15" fillId="0" borderId="16" xfId="0" applyNumberFormat="1" applyFont="1" applyBorder="1" applyAlignment="1" applyProtection="1">
      <alignment horizontal="center" vertical="center" shrinkToFit="1"/>
      <protection locked="0"/>
    </xf>
    <xf numFmtId="0" fontId="15" fillId="0" borderId="16" xfId="0" applyFont="1" applyBorder="1" applyAlignment="1" applyProtection="1">
      <alignment horizontal="center" vertical="center" shrinkToFit="1"/>
      <protection locked="0"/>
    </xf>
    <xf numFmtId="0" fontId="25" fillId="0" borderId="0" xfId="0" applyFont="1" applyAlignment="1" applyProtection="1">
      <alignment vertical="center" shrinkToFit="1"/>
      <protection locked="0"/>
    </xf>
    <xf numFmtId="0" fontId="25" fillId="0" borderId="53" xfId="0" applyFont="1" applyBorder="1" applyAlignment="1" applyProtection="1">
      <alignment vertical="center" shrinkToFit="1"/>
      <protection locked="0"/>
    </xf>
    <xf numFmtId="0" fontId="15" fillId="2" borderId="83" xfId="0" applyFont="1" applyFill="1" applyBorder="1" applyAlignment="1">
      <alignment horizontal="center" vertical="center" shrinkToFit="1"/>
    </xf>
    <xf numFmtId="9" fontId="15" fillId="0" borderId="84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5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6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7" xfId="1" applyNumberFormat="1" applyFont="1" applyFill="1" applyBorder="1" applyAlignment="1" applyProtection="1">
      <alignment horizontal="center" vertical="center" shrinkToFit="1"/>
      <protection locked="0"/>
    </xf>
    <xf numFmtId="9" fontId="24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88" xfId="1" applyNumberFormat="1" applyFont="1" applyFill="1" applyBorder="1" applyAlignment="1" applyProtection="1">
      <alignment horizontal="center" vertical="center" shrinkToFit="1"/>
      <protection locked="0"/>
    </xf>
    <xf numFmtId="9" fontId="24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89" xfId="1" applyNumberFormat="1" applyFont="1" applyFill="1" applyBorder="1" applyAlignment="1" applyProtection="1">
      <alignment horizontal="center" vertical="center" shrinkToFit="1"/>
      <protection locked="0"/>
    </xf>
    <xf numFmtId="9" fontId="24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90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1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2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3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4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5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6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7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8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9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0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1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2" xfId="0" applyNumberFormat="1" applyFont="1" applyBorder="1" applyAlignment="1" applyProtection="1">
      <alignment horizontal="center" vertical="center" shrinkToFit="1"/>
      <protection locked="0"/>
    </xf>
    <xf numFmtId="9" fontId="24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3" xfId="0" applyNumberFormat="1" applyFont="1" applyBorder="1" applyAlignment="1" applyProtection="1">
      <alignment horizontal="center" vertical="center" shrinkToFit="1"/>
      <protection locked="0"/>
    </xf>
    <xf numFmtId="9" fontId="24" fillId="0" borderId="19" xfId="0" applyNumberFormat="1" applyFont="1" applyBorder="1" applyAlignment="1" applyProtection="1">
      <alignment horizontal="left" vertical="center" shrinkToFit="1"/>
      <protection locked="0"/>
    </xf>
    <xf numFmtId="0" fontId="31" fillId="0" borderId="0" xfId="0" applyFont="1">
      <alignment horizontal="left" vertical="center" shrinkToFit="1"/>
    </xf>
    <xf numFmtId="0" fontId="32" fillId="0" borderId="0" xfId="0" applyFont="1">
      <alignment horizontal="left" vertical="center" shrinkToFit="1"/>
    </xf>
    <xf numFmtId="0" fontId="33" fillId="0" borderId="0" xfId="0" applyFont="1">
      <alignment horizontal="left" vertical="center" shrinkToFit="1"/>
    </xf>
  </cellXfs>
  <cellStyles count="9">
    <cellStyle name="Calc Currency (0)" xfId="2" xr:uid="{00000000-0005-0000-0000-000000000000}"/>
    <cellStyle name="Header1" xfId="3" xr:uid="{00000000-0005-0000-0000-000001000000}"/>
    <cellStyle name="Header2" xfId="4" xr:uid="{00000000-0005-0000-0000-000002000000}"/>
    <cellStyle name="Normal_#18-Internet" xfId="5" xr:uid="{00000000-0005-0000-0000-000003000000}"/>
    <cellStyle name="桁区切り" xfId="1" builtinId="6"/>
    <cellStyle name="標準" xfId="0" builtinId="0"/>
    <cellStyle name="標準 2" xfId="6" xr:uid="{00000000-0005-0000-0000-000006000000}"/>
    <cellStyle name="標準 2 2" xfId="7" xr:uid="{00000000-0005-0000-0000-000007000000}"/>
    <cellStyle name="標準 3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422923</xdr:colOff>
      <xdr:row>16</xdr:row>
      <xdr:rowOff>95250</xdr:rowOff>
    </xdr:from>
    <xdr:to>
      <xdr:col>10</xdr:col>
      <xdr:colOff>1219200</xdr:colOff>
      <xdr:row>19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AB7D349-66EA-4AC0-BACA-912F87DED34E}"/>
            </a:ext>
          </a:extLst>
        </xdr:cNvPr>
        <xdr:cNvGrpSpPr/>
      </xdr:nvGrpSpPr>
      <xdr:grpSpPr>
        <a:xfrm>
          <a:off x="6328423" y="3495675"/>
          <a:ext cx="1405877" cy="666750"/>
          <a:chOff x="5229225" y="9153525"/>
          <a:chExt cx="2105025" cy="790575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CFDD944D-180D-4367-A4B5-5B822D10E673}"/>
              </a:ext>
            </a:extLst>
          </xdr:cNvPr>
          <xdr:cNvSpPr/>
        </xdr:nvSpPr>
        <xdr:spPr>
          <a:xfrm>
            <a:off x="6305550" y="9153525"/>
            <a:ext cx="1028700" cy="790575"/>
          </a:xfrm>
          <a:prstGeom prst="rect">
            <a:avLst/>
          </a:prstGeom>
          <a:noFill/>
          <a:ln w="12700" cap="flat" cmpd="dbl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ＭＳ Ｐゴシック"/>
              <a:cs typeface="+mn-cs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2CD1070C-4CDA-468B-8A55-369683B2D15B}"/>
              </a:ext>
            </a:extLst>
          </xdr:cNvPr>
          <xdr:cNvSpPr/>
        </xdr:nvSpPr>
        <xdr:spPr>
          <a:xfrm>
            <a:off x="5229225" y="9153525"/>
            <a:ext cx="1028700" cy="790575"/>
          </a:xfrm>
          <a:prstGeom prst="rect">
            <a:avLst/>
          </a:prstGeom>
          <a:noFill/>
          <a:ln w="12700" cap="flat" cmpd="dbl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ＭＳ Ｐゴシック"/>
              <a:cs typeface="+mn-cs"/>
            </a:endParaRPr>
          </a:p>
        </xdr:txBody>
      </xdr:sp>
    </xdr:grpSp>
    <xdr:clientData/>
  </xdr:twoCellAnchor>
  <xdr:twoCellAnchor>
    <xdr:from>
      <xdr:col>1</xdr:col>
      <xdr:colOff>619125</xdr:colOff>
      <xdr:row>43</xdr:row>
      <xdr:rowOff>66675</xdr:rowOff>
    </xdr:from>
    <xdr:to>
      <xdr:col>6</xdr:col>
      <xdr:colOff>28574</xdr:colOff>
      <xdr:row>51</xdr:row>
      <xdr:rowOff>38100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114548" y="9391650"/>
          <a:ext cx="2343151" cy="16383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7</xdr:col>
      <xdr:colOff>752475</xdr:colOff>
      <xdr:row>20</xdr:row>
      <xdr:rowOff>485775</xdr:rowOff>
    </xdr:from>
    <xdr:to>
      <xdr:col>8</xdr:col>
      <xdr:colOff>876300</xdr:colOff>
      <xdr:row>42</xdr:row>
      <xdr:rowOff>47625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600700" y="4791075"/>
          <a:ext cx="1181100" cy="52959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11</xdr:col>
      <xdr:colOff>466724</xdr:colOff>
      <xdr:row>21</xdr:row>
      <xdr:rowOff>28575</xdr:rowOff>
    </xdr:from>
    <xdr:to>
      <xdr:col>17</xdr:col>
      <xdr:colOff>371475</xdr:colOff>
      <xdr:row>25</xdr:row>
      <xdr:rowOff>123825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620124" y="4505325"/>
          <a:ext cx="4019551" cy="10858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・赤枠内は編集不可です。数式設定セルや固定値となります。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（赤枠は印刷しない設定にしています。）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・明細行について、税率はリストから選択する。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税率を選択することで、下段の合計内訳欄に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金額が表示されます。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6</xdr:col>
      <xdr:colOff>390523</xdr:colOff>
      <xdr:row>43</xdr:row>
      <xdr:rowOff>66675</xdr:rowOff>
    </xdr:from>
    <xdr:to>
      <xdr:col>11</xdr:col>
      <xdr:colOff>28575</xdr:colOff>
      <xdr:row>51</xdr:row>
      <xdr:rowOff>38100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19648" y="10334625"/>
          <a:ext cx="3143252" cy="16383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J63"/>
  <sheetViews>
    <sheetView tabSelected="1" topLeftCell="A11" zoomScaleNormal="100" workbookViewId="0">
      <selection activeCell="O20" sqref="O20"/>
    </sheetView>
  </sheetViews>
  <sheetFormatPr defaultColWidth="9" defaultRowHeight="13.5"/>
  <cols>
    <col min="1" max="1" width="10.5" style="26" customWidth="1"/>
    <col min="2" max="2" width="9" style="26" customWidth="1"/>
    <col min="3" max="3" width="7.75" style="26" customWidth="1"/>
    <col min="4" max="4" width="7.75" style="26" customWidth="1"/>
    <col min="5" max="5" width="6.875" style="26" customWidth="1"/>
    <col min="6" max="6" width="7.75" style="26" customWidth="1"/>
    <col min="7" max="7" width="5.5" style="26" customWidth="1"/>
    <col min="8" max="8" width="10.375" style="26" customWidth="1"/>
    <col min="9" max="9" width="12" style="26" customWidth="1"/>
    <col min="10" max="10" width="8" style="26" customWidth="1"/>
    <col min="11" max="11" width="16.5" style="26" customWidth="1"/>
    <col min="12" max="16384" width="9" style="26"/>
  </cols>
  <sheetData>
    <row r="1" spans="1:11" ht="22.5" customHeight="1">
      <c r="C1"/>
      <c r="D1" s="151" t="s">
        <v>18</v>
      </c>
      <c r="E1" s="152"/>
      <c r="F1" s="152"/>
      <c r="G1" s="152"/>
      <c r="H1" s="152"/>
      <c r="I1" s="153"/>
    </row>
    <row r="2" spans="1:11" ht="22.5" customHeight="1" thickBot="1">
      <c r="C2"/>
      <c r="D2" s="154"/>
      <c r="E2" s="155"/>
      <c r="F2" s="155"/>
      <c r="G2" s="155"/>
      <c r="H2" s="155"/>
      <c r="I2" s="156"/>
    </row>
    <row r="3" spans="1:11" ht="3.75" customHeight="1"/>
    <row r="4" spans="1:11" ht="20.25" customHeight="1">
      <c r="I4" s="157" t="s">
        <v>151</v>
      </c>
      <c r="J4" s="157"/>
      <c r="K4" s="157"/>
    </row>
    <row r="5" spans="1:11" ht="20.25" customHeight="1">
      <c r="F5" s="27"/>
      <c r="G5" s="27"/>
      <c r="H5" s="28"/>
      <c r="I5" s="90">
        <v>46113</v>
      </c>
      <c r="J5" s="90"/>
      <c r="K5" s="90"/>
    </row>
    <row r="6" spans="1:11" ht="15" customHeight="1">
      <c r="A6" s="176" t="s">
        <v>154</v>
      </c>
      <c r="B6" s="176"/>
      <c r="C6" s="176"/>
      <c r="D6" s="176"/>
      <c r="E6" s="176"/>
      <c r="F6" s="27"/>
      <c r="G6" s="27"/>
      <c r="H6" s="28"/>
      <c r="I6" s="29"/>
      <c r="J6" s="29"/>
      <c r="K6" s="29"/>
    </row>
    <row r="7" spans="1:11" ht="15" customHeight="1">
      <c r="A7" s="177"/>
      <c r="B7" s="177"/>
      <c r="C7" s="177"/>
      <c r="D7" s="177"/>
      <c r="E7" s="177"/>
      <c r="J7" s="30"/>
      <c r="K7" s="30"/>
    </row>
    <row r="8" spans="1:11" ht="20.25" customHeight="1">
      <c r="F8" s="27"/>
      <c r="G8" s="27"/>
      <c r="H8" s="33"/>
      <c r="I8" s="219" t="s">
        <v>16</v>
      </c>
      <c r="J8" s="219"/>
      <c r="K8" s="219"/>
    </row>
    <row r="9" spans="1:11" ht="17.25" customHeight="1">
      <c r="B9" s="31"/>
      <c r="C9" s="31"/>
      <c r="D9" s="31"/>
      <c r="E9" s="31"/>
      <c r="F9" s="30"/>
      <c r="G9" s="30"/>
      <c r="H9" s="33"/>
      <c r="I9" s="220" t="inlineStr">
        <is>
          <t>行橋営業所　所長　久保　匠史</t>
        </is>
      </c>
      <c r="J9" s="220"/>
      <c r="K9" s="220"/>
    </row>
    <row r="10" spans="1:11" ht="3" customHeight="1">
      <c r="A10" s="31"/>
      <c r="B10" s="31"/>
      <c r="C10" s="31"/>
      <c r="D10" s="31"/>
      <c r="E10" s="31"/>
      <c r="F10" s="30"/>
      <c r="G10" s="30"/>
    </row>
    <row r="11" spans="1:11" ht="18" customHeight="1">
      <c r="F11" s="30"/>
      <c r="G11" s="30"/>
      <c r="H11" s="33"/>
      <c r="I11" s="221" t="inlineStr">
        <is>
          <t>〒824-0043</t>
        </is>
      </c>
      <c r="J11" s="221"/>
      <c r="K11" s="221"/>
    </row>
    <row r="12" spans="1:11" ht="18" customHeight="1">
      <c r="F12" s="30"/>
      <c r="G12" s="30"/>
      <c r="H12" s="33"/>
      <c r="I12" s="221" t="inlineStr">
        <is>
          <t>福岡県行橋市大字流末1327番地</t>
        </is>
      </c>
      <c r="J12" s="221"/>
      <c r="K12" s="221"/>
    </row>
    <row r="13" spans="1:11" ht="18" customHeight="1">
      <c r="A13" s="34" t="s">
        <v>139</v>
      </c>
      <c r="F13" s="30"/>
      <c r="G13" s="30"/>
      <c r="H13" s="33"/>
      <c r="I13" s="221" t="inlineStr">
        <is>
          <t>TEL：0930-26-9640</t>
        </is>
      </c>
      <c r="J13" s="221"/>
      <c r="K13" s="221"/>
    </row>
    <row r="14" spans="1:11" ht="18" customHeight="1">
      <c r="A14" s="94" t="s">
        <v>140</v>
      </c>
      <c r="B14" s="158"/>
      <c r="C14" s="158"/>
      <c r="D14" s="158"/>
      <c r="E14" s="158"/>
      <c r="F14" s="30"/>
      <c r="G14" s="30"/>
      <c r="H14" s="33"/>
      <c r="I14" s="221" t="inlineStr">
        <is>
          <t>FAX：0930-26-9641</t>
        </is>
      </c>
      <c r="J14" s="221"/>
      <c r="K14" s="221"/>
    </row>
    <row r="15" spans="1:11" ht="18" customHeight="1">
      <c r="A15" s="95"/>
      <c r="B15" s="159"/>
      <c r="C15" s="159"/>
      <c r="D15" s="159"/>
      <c r="E15" s="159"/>
      <c r="F15" s="30"/>
      <c r="G15" s="30"/>
      <c r="H15" s="33"/>
      <c r="I15" s="221" t="inlineStr">
        <is>
          <t>登録番号：T1290001044462</t>
        </is>
      </c>
      <c r="J15" s="221"/>
      <c r="K15" s="221"/>
    </row>
    <row r="16" spans="1:11" ht="18" customHeight="1">
      <c r="A16" s="96"/>
      <c r="B16" s="160"/>
      <c r="C16" s="160"/>
      <c r="D16" s="160"/>
      <c r="E16" s="160"/>
      <c r="G16" s="30"/>
      <c r="H16" s="33"/>
      <c r="I16" s="221"/>
      <c r="J16" s="221"/>
      <c r="K16" s="221"/>
    </row>
    <row r="17" spans="1:11" ht="15" customHeight="1">
      <c r="A17" s="35" t="s">
        <v>141</v>
      </c>
      <c r="B17" s="171" t="s">
        <v>150</v>
      </c>
      <c r="C17" s="172"/>
      <c r="D17" s="172"/>
      <c r="E17" s="173"/>
      <c r="H17" s="30"/>
      <c r="I17" s="30"/>
      <c r="J17" s="30"/>
      <c r="K17" s="30"/>
    </row>
    <row r="18" spans="1:11" ht="15" customHeight="1">
      <c r="A18" s="36" t="s">
        <v>148</v>
      </c>
      <c r="B18" s="174" t="s">
        <v>149</v>
      </c>
      <c r="C18" s="175"/>
      <c r="D18" s="175"/>
      <c r="E18" s="175"/>
      <c r="J18" s="30"/>
      <c r="K18" s="30"/>
    </row>
    <row r="19" spans="1:11" ht="15" customHeight="1">
      <c r="A19" s="75"/>
      <c r="B19" s="74"/>
      <c r="C19" s="73"/>
      <c r="D19" s="73"/>
      <c r="E19" s="73"/>
      <c r="J19" s="30"/>
      <c r="K19" s="30"/>
    </row>
    <row r="20" spans="1:11" ht="24" customHeight="1" thickBot="1">
      <c r="A20" s="31"/>
      <c r="J20" s="30"/>
      <c r="K20" s="30"/>
    </row>
    <row r="21" spans="1:11" ht="42" customHeight="1" thickBot="1">
      <c r="A21" s="97" t="s">
        <v>143</v>
      </c>
      <c r="B21" s="98"/>
      <c r="C21" s="98"/>
      <c r="D21" s="99"/>
      <c r="E21" s="100">
        <f>C46+E46</f>
        <v>0</v>
      </c>
      <c r="F21" s="101"/>
      <c r="G21" s="101"/>
      <c r="H21" s="79" t="s">
        <v>152</v>
      </c>
    </row>
    <row r="22" spans="1:11" ht="19.5" customHeight="1" thickBot="1">
      <c r="A22" s="168" t="s">
        <v>15</v>
      </c>
      <c r="B22" s="169"/>
      <c r="C22" s="169"/>
      <c r="D22" s="169"/>
      <c r="E22" s="170"/>
      <c r="F22" s="76" t="s">
        <v>0</v>
      </c>
      <c r="G22" s="77" t="s">
        <v>1</v>
      </c>
      <c r="H22" s="78" t="s">
        <v>2</v>
      </c>
      <c r="I22" s="37" t="s">
        <v>3</v>
      </c>
      <c r="J22" s="178" t="s">
        <v>4</v>
      </c>
      <c r="K22" s="38" t="inlineStr">
        <is>
          <t>備考</t>
        </is>
      </c>
    </row>
    <row r="23" spans="1:11" ht="19.5" customHeight="1">
      <c r="A23" s="88"/>
      <c r="B23" s="86"/>
      <c r="C23" s="86"/>
      <c r="D23" s="86"/>
      <c r="E23" s="87"/>
      <c r="F23" s="39"/>
      <c r="G23" s="40"/>
      <c r="H23" s="41"/>
      <c r="I23" s="42" t="str">
        <f>IF(F23*H23,F23*H23,"")</f>
        <v/>
      </c>
      <c r="J23" s="179">
        <v>0.1</v>
      </c>
      <c r="K23" s="180"/>
    </row>
    <row r="24" spans="1:11" ht="19.5" customHeight="1">
      <c r="A24" s="91"/>
      <c r="B24" s="92"/>
      <c r="C24" s="92"/>
      <c r="D24" s="92"/>
      <c r="E24" s="93"/>
      <c r="F24" s="39"/>
      <c r="G24" s="40"/>
      <c r="H24" s="41"/>
      <c r="I24" s="42" t="str">
        <f>IF(F24*H24,F24*H24,"")</f>
        <v/>
      </c>
      <c r="J24" s="181"/>
      <c r="K24" s="182"/>
    </row>
    <row r="25" spans="1:11" ht="19.5" customHeight="1">
      <c r="A25" s="85"/>
      <c r="B25" s="86"/>
      <c r="C25" s="86"/>
      <c r="D25" s="86"/>
      <c r="E25" s="87"/>
      <c r="F25" s="39"/>
      <c r="G25" s="40"/>
      <c r="H25" s="41"/>
      <c r="I25" s="44" t="str">
        <f>IF(F25*H25,F25*H25,"")</f>
        <v/>
      </c>
      <c r="J25" s="183"/>
      <c r="K25" s="184"/>
    </row>
    <row r="26" spans="1:11" ht="19.5" customHeight="1">
      <c r="A26" s="88"/>
      <c r="B26" s="86"/>
      <c r="C26" s="86"/>
      <c r="D26" s="86"/>
      <c r="E26" s="87"/>
      <c r="F26" s="39"/>
      <c r="G26" s="40"/>
      <c r="H26" s="45"/>
      <c r="I26" s="44" t="str">
        <f>IF(F26*H26,F26*H26,"")</f>
        <v/>
      </c>
      <c r="J26" s="185"/>
      <c r="K26" s="186"/>
    </row>
    <row r="27" spans="1:11" ht="19.5" customHeight="1">
      <c r="A27" s="88"/>
      <c r="B27" s="86"/>
      <c r="C27" s="86"/>
      <c r="D27" s="86"/>
      <c r="E27" s="87"/>
      <c r="F27" s="39"/>
      <c r="G27" s="40"/>
      <c r="H27" s="41"/>
      <c r="I27" s="44" t="str">
        <f>IF(F27*H27,F27*H27,"")</f>
        <v/>
      </c>
      <c r="J27" s="187"/>
      <c r="K27" s="188"/>
    </row>
    <row r="28" spans="1:11" ht="19.5" customHeight="1">
      <c r="A28" s="88"/>
      <c r="B28" s="86"/>
      <c r="C28" s="86"/>
      <c r="D28" s="86"/>
      <c r="E28" s="87"/>
      <c r="F28" s="39"/>
      <c r="G28" s="40"/>
      <c r="H28" s="45"/>
      <c r="I28" s="44" t="str">
        <f>IF(F28*H28,F28*H28,"")</f>
        <v/>
      </c>
      <c r="J28" s="189"/>
      <c r="K28" s="190"/>
    </row>
    <row r="29" spans="1:11" ht="19.5" customHeight="1">
      <c r="A29" s="88"/>
      <c r="B29" s="86"/>
      <c r="C29" s="86"/>
      <c r="D29" s="86"/>
      <c r="E29" s="87"/>
      <c r="F29" s="39"/>
      <c r="G29" s="40"/>
      <c r="H29" s="41"/>
      <c r="I29" s="44" t="str">
        <f>IF(F29*H29,F29*H29,"")</f>
        <v/>
      </c>
      <c r="J29" s="191"/>
      <c r="K29" s="192"/>
    </row>
    <row r="30" spans="1:11" ht="19.5" customHeight="1">
      <c r="A30" s="88"/>
      <c r="B30" s="86"/>
      <c r="C30" s="86"/>
      <c r="D30" s="86"/>
      <c r="E30" s="87"/>
      <c r="F30" s="39"/>
      <c r="G30" s="40"/>
      <c r="H30" s="41"/>
      <c r="I30" s="44" t="str">
        <f>IF(F30*H30,F30*H30,"")</f>
        <v/>
      </c>
      <c r="J30" s="193"/>
      <c r="K30" s="194"/>
    </row>
    <row r="31" spans="1:11" ht="19.5" customHeight="1">
      <c r="A31" s="88"/>
      <c r="B31" s="86"/>
      <c r="C31" s="86"/>
      <c r="D31" s="86"/>
      <c r="E31" s="87"/>
      <c r="F31" s="39"/>
      <c r="G31" s="40"/>
      <c r="H31" s="41"/>
      <c r="I31" s="44" t="str">
        <f>IF(F31*H31,F31*H31,"")</f>
        <v/>
      </c>
      <c r="J31" s="195"/>
      <c r="K31" s="196"/>
    </row>
    <row r="32" spans="1:11" ht="19.5" customHeight="1">
      <c r="A32" s="88"/>
      <c r="B32" s="86"/>
      <c r="C32" s="86"/>
      <c r="D32" s="86"/>
      <c r="E32" s="87"/>
      <c r="F32" s="39"/>
      <c r="G32" s="40"/>
      <c r="H32" s="45"/>
      <c r="I32" s="44" t="str">
        <f>IF(F32*H32,F32*H32,"")</f>
        <v/>
      </c>
      <c r="J32" s="197"/>
      <c r="K32" s="198"/>
    </row>
    <row r="33" spans="1:11" ht="19.5" customHeight="1">
      <c r="A33" s="88"/>
      <c r="B33" s="86"/>
      <c r="C33" s="86"/>
      <c r="D33" s="86"/>
      <c r="E33" s="87"/>
      <c r="F33" s="39"/>
      <c r="G33" s="40"/>
      <c r="H33" s="41"/>
      <c r="I33" s="44" t="str">
        <f>IF(F33*H33,F33*H33,"")</f>
        <v/>
      </c>
      <c r="J33" s="199"/>
      <c r="K33" s="200"/>
    </row>
    <row r="34" spans="1:11" ht="19.5" customHeight="1">
      <c r="A34" s="88"/>
      <c r="B34" s="86"/>
      <c r="C34" s="86"/>
      <c r="D34" s="86"/>
      <c r="E34" s="87"/>
      <c r="F34" s="39"/>
      <c r="G34" s="40"/>
      <c r="H34" s="45"/>
      <c r="I34" s="44" t="str">
        <f>IF(F34*H34,F34*H34,"")</f>
        <v/>
      </c>
      <c r="J34" s="201"/>
      <c r="K34" s="202"/>
    </row>
    <row r="35" spans="1:11" ht="19.5" customHeight="1">
      <c r="A35" s="88"/>
      <c r="B35" s="86"/>
      <c r="C35" s="86"/>
      <c r="D35" s="86"/>
      <c r="E35" s="87"/>
      <c r="F35" s="39"/>
      <c r="G35" s="40"/>
      <c r="H35" s="41"/>
      <c r="I35" s="44" t="str">
        <f>IF(F35*H35,F35*H35,"")</f>
        <v/>
      </c>
      <c r="J35" s="203"/>
      <c r="K35" s="204"/>
    </row>
    <row r="36" spans="1:11" ht="19.5" customHeight="1">
      <c r="A36" s="88"/>
      <c r="B36" s="86"/>
      <c r="C36" s="86"/>
      <c r="D36" s="86"/>
      <c r="E36" s="87"/>
      <c r="F36" s="39"/>
      <c r="G36" s="40"/>
      <c r="H36" s="41"/>
      <c r="I36" s="44" t="str">
        <f>IF(F36*H36,F36*H36,"")</f>
        <v/>
      </c>
      <c r="J36" s="205"/>
      <c r="K36" s="206"/>
    </row>
    <row r="37" spans="1:11" ht="19.5" customHeight="1">
      <c r="A37" s="88"/>
      <c r="B37" s="86"/>
      <c r="C37" s="86"/>
      <c r="D37" s="86"/>
      <c r="E37" s="87"/>
      <c r="F37" s="39"/>
      <c r="G37" s="40"/>
      <c r="H37" s="41"/>
      <c r="I37" s="44" t="str">
        <f>IF(F37*H37,F37*H37,"")</f>
        <v/>
      </c>
      <c r="J37" s="207"/>
      <c r="K37" s="208"/>
    </row>
    <row r="38" spans="1:11" ht="19.5" customHeight="1">
      <c r="A38" s="88"/>
      <c r="B38" s="86"/>
      <c r="C38" s="86"/>
      <c r="D38" s="86"/>
      <c r="E38" s="87"/>
      <c r="F38" s="39"/>
      <c r="G38" s="40"/>
      <c r="H38" s="41"/>
      <c r="I38" s="44" t="str">
        <f>IF(F38*H38,F38*H38,"")</f>
        <v/>
      </c>
      <c r="J38" s="209"/>
      <c r="K38" s="210"/>
    </row>
    <row r="39" hidden="1" spans="1:11" ht="19.5" customHeight="1">
      <c r="A39" s="88"/>
      <c r="B39" s="86"/>
      <c r="C39" s="86"/>
      <c r="D39" s="86"/>
      <c r="E39" s="87"/>
      <c r="F39" s="39"/>
      <c r="G39" s="40"/>
      <c r="H39" s="41"/>
      <c r="I39" s="44" t="str">
        <f>IF(F39*H39,F39*H39,"")</f>
        <v/>
      </c>
      <c r="J39" s="211"/>
      <c r="K39" s="212"/>
    </row>
    <row r="40" hidden="1" spans="1:11" ht="19.5" customHeight="1">
      <c r="A40" s="88"/>
      <c r="B40" s="86"/>
      <c r="C40" s="86"/>
      <c r="D40" s="86"/>
      <c r="E40" s="87"/>
      <c r="F40" s="39"/>
      <c r="G40" s="40"/>
      <c r="H40" s="41"/>
      <c r="I40" s="44" t="str">
        <f>IF(F40*H40,F40*H40,"")</f>
        <v/>
      </c>
      <c r="J40" s="213"/>
      <c r="K40" s="214"/>
    </row>
    <row r="41" hidden="1" spans="1:11" ht="19.5" customHeight="1">
      <c r="A41" s="88"/>
      <c r="B41" s="86"/>
      <c r="C41" s="86"/>
      <c r="D41" s="86"/>
      <c r="E41" s="87"/>
      <c r="F41" s="39"/>
      <c r="G41" s="40"/>
      <c r="H41" s="41"/>
      <c r="I41" s="44" t="str">
        <f>IF(F41*H41,F41*H41,"")</f>
        <v/>
      </c>
      <c r="J41" s="215"/>
      <c r="K41" s="216"/>
    </row>
    <row r="42" hidden="1" spans="1:11" ht="19.5" customHeight="1" thickBot="1">
      <c r="A42" s="82"/>
      <c r="B42" s="83"/>
      <c r="C42" s="83"/>
      <c r="D42" s="83"/>
      <c r="E42" s="84"/>
      <c r="F42" s="47"/>
      <c r="G42" s="48"/>
      <c r="H42" s="49"/>
      <c r="I42" s="44" t="str">
        <f>IF(F42*H42,F42*H42,"")</f>
        <v/>
      </c>
      <c r="J42" s="217"/>
      <c r="K42" s="218"/>
    </row>
    <row r="43" spans="1:11" ht="18" customHeight="1">
      <c r="A43" s="51"/>
      <c r="B43" s="51"/>
      <c r="C43" s="51"/>
      <c r="D43" s="51"/>
      <c r="E43" s="51"/>
      <c r="F43" s="51"/>
      <c r="G43" s="51"/>
      <c r="H43" s="52"/>
      <c r="I43" s="51"/>
      <c r="J43" s="53"/>
      <c r="K43" s="53"/>
    </row>
    <row r="44" spans="1:11" ht="7.5" customHeight="1" thickBot="1">
      <c r="A44" s="54"/>
      <c r="B44" s="54"/>
      <c r="C44" s="54"/>
      <c r="D44" s="54"/>
      <c r="E44" s="54"/>
      <c r="F44" s="54"/>
      <c r="H44" s="55"/>
      <c r="J44" s="56"/>
      <c r="K44" s="56"/>
    </row>
    <row r="45" spans="1:11" ht="18.75" customHeight="1">
      <c r="A45" s="164" t="s">
        <v>143</v>
      </c>
      <c r="B45" s="165"/>
      <c r="C45" s="161" t="s">
        <v>153</v>
      </c>
      <c r="D45" s="162"/>
      <c r="E45" s="162" t="s">
        <v>9</v>
      </c>
      <c r="F45" s="163"/>
      <c r="G45" s="57"/>
      <c r="H45" s="145" t="s">
        <v>144</v>
      </c>
      <c r="I45" s="146"/>
      <c r="J45" s="146"/>
      <c r="K45" s="147"/>
    </row>
    <row r="46" spans="1:11" ht="18.75" customHeight="1" thickBot="1">
      <c r="A46" s="166"/>
      <c r="B46" s="167"/>
      <c r="C46" s="128">
        <f>SUM(C47:D51)</f>
        <v>0</v>
      </c>
      <c r="D46" s="122"/>
      <c r="E46" s="122">
        <f>E47+E48+E49</f>
        <v>0</v>
      </c>
      <c r="F46" s="123"/>
      <c r="G46" s="58"/>
      <c r="H46" s="148"/>
      <c r="I46" s="149"/>
      <c r="J46" s="149"/>
      <c r="K46" s="150"/>
    </row>
    <row r="47" spans="1:11" ht="17.25" customHeight="1">
      <c r="A47" s="106" t="s">
        <v>10</v>
      </c>
      <c r="B47" s="107"/>
      <c r="C47" s="126">
        <f>SUMIF($J$23:$J$42,A53,$I$23:$I$42)</f>
        <v>0</v>
      </c>
      <c r="D47" s="127"/>
      <c r="E47" s="120">
        <f>ROUNDDOWN(C47*0.1,0)</f>
        <v>0</v>
      </c>
      <c r="F47" s="121"/>
      <c r="G47" s="59"/>
      <c r="H47" s="110" t="s">
        <v>147</v>
      </c>
      <c r="I47" s="111"/>
      <c r="J47" s="111"/>
      <c r="K47" s="112"/>
    </row>
    <row r="48" spans="1:11" ht="17.25" customHeight="1">
      <c r="A48" s="108" t="s">
        <v>11</v>
      </c>
      <c r="B48" s="109"/>
      <c r="C48" s="124">
        <f>SUMIF($J$23:$J$42,A54,$I$23:$I$42)</f>
        <v>0</v>
      </c>
      <c r="D48" s="125"/>
      <c r="E48" s="118">
        <f>ROUNDDOWN(C48*0.08,0)</f>
        <v>0</v>
      </c>
      <c r="F48" s="119"/>
      <c r="G48" s="59"/>
      <c r="H48" s="110" t="s">
        <v>145</v>
      </c>
      <c r="I48" s="111"/>
      <c r="J48" s="111"/>
      <c r="K48" s="112"/>
    </row>
    <row r="49" spans="1:11" ht="17.25" customHeight="1">
      <c r="A49" s="102" t="s">
        <v>12</v>
      </c>
      <c r="B49" s="103"/>
      <c r="C49" s="124">
        <f>SUMIF($J$23:$J$42,A55,$I$23:$I$42)</f>
        <v>0</v>
      </c>
      <c r="D49" s="125"/>
      <c r="E49" s="118">
        <f>ROUNDDOWN(C49*0.08,0)</f>
        <v>0</v>
      </c>
      <c r="F49" s="119"/>
      <c r="G49" s="59"/>
      <c r="H49" s="110" t="s">
        <v>146</v>
      </c>
      <c r="I49" s="111"/>
      <c r="J49" s="111"/>
      <c r="K49" s="112"/>
    </row>
    <row r="50" spans="1:11" ht="17.25" customHeight="1">
      <c r="A50" s="102" t="s">
        <v>13</v>
      </c>
      <c r="B50" s="103"/>
      <c r="C50" s="124">
        <f>SUMIF($J$23:$J$42,A56,$I$23:$I$42)</f>
        <v>0</v>
      </c>
      <c r="D50" s="125"/>
      <c r="E50" s="116" t="s">
        <v>7</v>
      </c>
      <c r="F50" s="117"/>
      <c r="G50" s="59"/>
      <c r="H50" s="110"/>
      <c r="I50" s="111"/>
      <c r="J50" s="111"/>
      <c r="K50" s="112"/>
    </row>
    <row r="51" spans="1:11" ht="17.25" customHeight="1">
      <c r="A51" s="104" t="s">
        <v>14</v>
      </c>
      <c r="B51" s="105"/>
      <c r="C51" s="141">
        <f>SUMIF($J$23:$J$42,A57,$I$23:$I$42)</f>
        <v>0</v>
      </c>
      <c r="D51" s="142"/>
      <c r="E51" s="143" t="s">
        <v>7</v>
      </c>
      <c r="F51" s="144"/>
      <c r="G51" s="59"/>
      <c r="H51" s="113"/>
      <c r="I51" s="114"/>
      <c r="J51" s="114"/>
      <c r="K51" s="115"/>
    </row>
    <row r="52" spans="1:11" ht="13.9" customHeight="1">
      <c r="A52" s="60"/>
      <c r="B52" s="61"/>
      <c r="C52" s="61"/>
      <c r="D52" s="61"/>
      <c r="E52" s="61"/>
      <c r="F52" s="61"/>
      <c r="H52" s="55"/>
      <c r="I52" s="62"/>
      <c r="J52" s="56"/>
      <c r="K52" s="56"/>
    </row>
    <row r="53" spans="1:11" ht="12" hidden="1" customHeight="1">
      <c r="A53" s="63">
        <v>0.1</v>
      </c>
      <c r="B53" s="64"/>
      <c r="C53" s="64"/>
      <c r="D53" s="64"/>
      <c r="E53" s="64"/>
      <c r="F53" s="64"/>
      <c r="I53" s="65"/>
      <c r="J53" s="66"/>
      <c r="K53" s="66"/>
    </row>
    <row r="54" spans="1:11" ht="12" hidden="1" customHeight="1">
      <c r="A54" s="67">
        <v>0.08</v>
      </c>
      <c r="B54" s="56"/>
      <c r="C54" s="56"/>
      <c r="D54" s="56"/>
      <c r="E54" s="56"/>
      <c r="F54" s="56"/>
      <c r="G54" s="28"/>
      <c r="H54" s="68"/>
      <c r="I54" s="65"/>
      <c r="J54" s="66"/>
      <c r="K54" s="66"/>
    </row>
    <row r="55" spans="1:11" ht="12" hidden="1" customHeight="1">
      <c r="A55" s="69" t="s">
        <v>8</v>
      </c>
      <c r="B55" s="56"/>
      <c r="C55" s="56"/>
      <c r="D55" s="56"/>
      <c r="E55" s="56"/>
      <c r="F55" s="56"/>
      <c r="G55" s="28"/>
      <c r="H55" s="68"/>
      <c r="I55" s="65"/>
      <c r="J55" s="66"/>
      <c r="K55" s="66"/>
    </row>
    <row r="56" spans="1:11" ht="12" hidden="1" customHeight="1">
      <c r="A56" s="69" t="s">
        <v>5</v>
      </c>
      <c r="B56" s="70"/>
      <c r="C56" s="56"/>
      <c r="D56" s="56"/>
      <c r="E56" s="56"/>
      <c r="F56" s="56"/>
      <c r="G56" s="28"/>
      <c r="H56" s="68"/>
      <c r="I56" s="65"/>
      <c r="J56" s="66"/>
      <c r="K56" s="66"/>
    </row>
    <row r="57" spans="1:11" ht="12" hidden="1" customHeight="1">
      <c r="A57" s="71" t="s">
        <v>6</v>
      </c>
      <c r="B57" s="56"/>
      <c r="C57" s="56"/>
      <c r="D57" s="56"/>
      <c r="E57" s="56"/>
      <c r="F57" s="56"/>
      <c r="G57" s="28"/>
      <c r="H57" s="68"/>
      <c r="I57" s="65"/>
      <c r="J57" s="66"/>
      <c r="K57" s="66"/>
    </row>
    <row r="58" spans="1:11" ht="10.5" customHeight="1"/>
    <row r="59" spans="1:11" ht="18.75" customHeight="1">
      <c r="A59" s="129" t="s">
        <v>142</v>
      </c>
      <c r="B59" s="130"/>
      <c r="C59" s="130"/>
      <c r="D59" s="130"/>
      <c r="E59" s="130"/>
      <c r="F59" s="130"/>
      <c r="G59" s="130"/>
      <c r="H59" s="130"/>
      <c r="I59" s="130"/>
      <c r="J59" s="130"/>
      <c r="K59" s="131"/>
    </row>
    <row r="60" spans="1:11" ht="18.75" customHeight="1">
      <c r="A60" s="138"/>
      <c r="B60" s="139"/>
      <c r="C60" s="139"/>
      <c r="D60" s="139"/>
      <c r="E60" s="139"/>
      <c r="F60" s="139"/>
      <c r="G60" s="139"/>
      <c r="H60" s="139"/>
      <c r="I60" s="139"/>
      <c r="J60" s="139"/>
      <c r="K60" s="140"/>
    </row>
    <row r="61" spans="1:11" ht="18.75" customHeight="1">
      <c r="A61" s="135"/>
      <c r="B61" s="136"/>
      <c r="C61" s="136"/>
      <c r="D61" s="136"/>
      <c r="E61" s="136"/>
      <c r="F61" s="136"/>
      <c r="G61" s="136"/>
      <c r="H61" s="136"/>
      <c r="I61" s="136"/>
      <c r="J61" s="136"/>
      <c r="K61" s="137"/>
    </row>
    <row r="62" spans="1:11" ht="18.75" customHeight="1">
      <c r="A62" s="132"/>
      <c r="B62" s="133"/>
      <c r="C62" s="133"/>
      <c r="D62" s="133"/>
      <c r="E62" s="133"/>
      <c r="F62" s="133"/>
      <c r="G62" s="133"/>
      <c r="H62" s="133"/>
      <c r="I62" s="133"/>
      <c r="J62" s="133"/>
      <c r="K62" s="134"/>
    </row>
    <row r="63" spans="1:11">
      <c r="A63" s="72"/>
    </row>
  </sheetData>
  <sheetProtection formatRows="0" insertRows="0" deleteRows="0" selectLockedCells="1"/>
  <mergeCells count="69">
    <mergeCell ref="H45:K46"/>
    <mergeCell ref="D1:I2"/>
    <mergeCell ref="I4:K4"/>
    <mergeCell ref="B14:E16"/>
    <mergeCell ref="C45:D45"/>
    <mergeCell ref="E45:F45"/>
    <mergeCell ref="A45:B46"/>
    <mergeCell ref="A40:E40"/>
    <mergeCell ref="A41:E41"/>
    <mergeCell ref="A22:E22"/>
    <mergeCell ref="A35:E35"/>
    <mergeCell ref="A36:E36"/>
    <mergeCell ref="A37:E37"/>
    <mergeCell ref="B17:E17"/>
    <mergeCell ref="B18:E18"/>
    <mergeCell ref="A6:E7"/>
    <mergeCell ref="A59:K59"/>
    <mergeCell ref="A62:K62"/>
    <mergeCell ref="A61:K61"/>
    <mergeCell ref="A60:K60"/>
    <mergeCell ref="C51:D51"/>
    <mergeCell ref="E51:F51"/>
    <mergeCell ref="C50:D50"/>
    <mergeCell ref="C49:D49"/>
    <mergeCell ref="C48:D48"/>
    <mergeCell ref="C47:D47"/>
    <mergeCell ref="C46:D46"/>
    <mergeCell ref="E50:F50"/>
    <mergeCell ref="E49:F49"/>
    <mergeCell ref="E48:F48"/>
    <mergeCell ref="E47:F47"/>
    <mergeCell ref="E46:F46"/>
    <mergeCell ref="H47:K47"/>
    <mergeCell ref="H48:K48"/>
    <mergeCell ref="H49:K49"/>
    <mergeCell ref="H50:K50"/>
    <mergeCell ref="H51:K51"/>
    <mergeCell ref="A50:B50"/>
    <mergeCell ref="A51:B51"/>
    <mergeCell ref="A47:B47"/>
    <mergeCell ref="A48:B48"/>
    <mergeCell ref="A49:B49"/>
    <mergeCell ref="I5:K5"/>
    <mergeCell ref="A24:E24"/>
    <mergeCell ref="A23:E23"/>
    <mergeCell ref="A14:A16"/>
    <mergeCell ref="A21:D21"/>
    <mergeCell ref="E21:G21"/>
    <mergeCell ref="A42:E42"/>
    <mergeCell ref="A25:E25"/>
    <mergeCell ref="A26:E26"/>
    <mergeCell ref="A27:E27"/>
    <mergeCell ref="A28:E28"/>
    <mergeCell ref="A29:E29"/>
    <mergeCell ref="A30:E30"/>
    <mergeCell ref="A31:E31"/>
    <mergeCell ref="A32:E32"/>
    <mergeCell ref="A33:E33"/>
    <mergeCell ref="A34:E34"/>
    <mergeCell ref="A38:E38"/>
    <mergeCell ref="A39:E39"/>
    <mergeCell ref="I8:K8"/>
    <mergeCell ref="I9:K9"/>
    <mergeCell ref="I11:K11"/>
    <mergeCell ref="I12:K12"/>
    <mergeCell ref="I13:K13"/>
    <mergeCell ref="I14:K14"/>
    <mergeCell ref="I15:K15"/>
    <mergeCell ref="I16:K16"/>
  </mergeCells>
  <phoneticPr fontId="3"/>
  <dataValidations count="1">
    <dataValidation type="list" allowBlank="1" showInputMessage="1" showErrorMessage="1" sqref="J23:J42" xr:uid="{00000000-0002-0000-0000-000000000000}">
      <formula1>$A$53:$A$57</formula1>
    </dataValidation>
  </dataValidations>
  <pageMargins left="0.6692913385826772" right="0.39370078740157483" top="0.55118110236220474" bottom="0.31496062992125984" header="0.35433070866141736" footer="0.31496062992125984"/>
  <pageSetup paperSize="9" scale="84" orientation="portrait" r:id="rId1"/>
  <colBreaks count="1" manualBreakCount="1">
    <brk id="11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1:H22"/>
  <sheetViews>
    <sheetView workbookViewId="0">
      <selection activeCell="E26" sqref="E26"/>
    </sheetView>
  </sheetViews>
  <sheetFormatPr defaultRowHeight="13.5"/>
  <cols>
    <col min="3" max="3" width="12.875" customWidth="1"/>
    <col min="5" max="5" width="38.375" customWidth="1"/>
    <col min="6" max="7" width="12.875" customWidth="1"/>
    <col min="8" max="8" width="15.75" customWidth="1"/>
    <col min="10" max="10" width="14.125" customWidth="1"/>
  </cols>
  <sheetData>
    <row r="1" spans="3:8">
      <c r="C1" s="1" t="s">
        <v>19</v>
      </c>
      <c r="D1" s="2" t="s">
        <v>20</v>
      </c>
      <c r="E1" s="3" t="s">
        <v>21</v>
      </c>
      <c r="F1" s="3" t="s">
        <v>22</v>
      </c>
      <c r="G1" s="4" t="s">
        <v>23</v>
      </c>
      <c r="H1" s="5" t="s">
        <v>24</v>
      </c>
    </row>
    <row r="2" spans="3:8" ht="3.75" customHeight="1">
      <c r="C2" s="6"/>
      <c r="D2" s="7"/>
      <c r="E2" s="8"/>
      <c r="F2" s="8"/>
      <c r="G2" s="9"/>
      <c r="H2" s="22"/>
    </row>
    <row r="3" spans="3:8">
      <c r="C3" s="6" t="s">
        <v>25</v>
      </c>
      <c r="D3" s="7" t="s">
        <v>26</v>
      </c>
      <c r="E3" s="8" t="s">
        <v>85</v>
      </c>
      <c r="F3" s="8" t="s">
        <v>101</v>
      </c>
      <c r="G3" s="9" t="s">
        <v>102</v>
      </c>
      <c r="H3" s="22" t="s">
        <v>27</v>
      </c>
    </row>
    <row r="4" spans="3:8">
      <c r="C4" s="6" t="s">
        <v>28</v>
      </c>
      <c r="D4" s="7" t="s">
        <v>29</v>
      </c>
      <c r="E4" s="8" t="s">
        <v>86</v>
      </c>
      <c r="F4" s="8" t="s">
        <v>103</v>
      </c>
      <c r="G4" s="11" t="s">
        <v>104</v>
      </c>
      <c r="H4" s="23" t="s">
        <v>30</v>
      </c>
    </row>
    <row r="5" spans="3:8">
      <c r="C5" s="6" t="s">
        <v>31</v>
      </c>
      <c r="D5" s="7" t="s">
        <v>32</v>
      </c>
      <c r="E5" s="8" t="s">
        <v>91</v>
      </c>
      <c r="F5" s="8" t="s">
        <v>105</v>
      </c>
      <c r="G5" s="11" t="s">
        <v>106</v>
      </c>
      <c r="H5" s="23" t="s">
        <v>33</v>
      </c>
    </row>
    <row r="6" spans="3:8">
      <c r="C6" s="6" t="s">
        <v>34</v>
      </c>
      <c r="D6" s="7" t="s">
        <v>35</v>
      </c>
      <c r="E6" s="8" t="s">
        <v>87</v>
      </c>
      <c r="F6" s="8" t="s">
        <v>107</v>
      </c>
      <c r="G6" s="11" t="s">
        <v>108</v>
      </c>
      <c r="H6" s="23" t="s">
        <v>36</v>
      </c>
    </row>
    <row r="7" spans="3:8">
      <c r="C7" s="6" t="s">
        <v>37</v>
      </c>
      <c r="D7" s="7" t="s">
        <v>38</v>
      </c>
      <c r="E7" s="8" t="s">
        <v>39</v>
      </c>
      <c r="F7" s="8" t="s">
        <v>109</v>
      </c>
      <c r="G7" s="11" t="s">
        <v>110</v>
      </c>
      <c r="H7" s="23" t="s">
        <v>40</v>
      </c>
    </row>
    <row r="8" spans="3:8">
      <c r="C8" s="6" t="s">
        <v>43</v>
      </c>
      <c r="D8" s="7" t="s">
        <v>41</v>
      </c>
      <c r="E8" s="8" t="s">
        <v>88</v>
      </c>
      <c r="F8" s="8" t="s">
        <v>111</v>
      </c>
      <c r="G8" s="11" t="s">
        <v>112</v>
      </c>
      <c r="H8" s="23" t="s">
        <v>42</v>
      </c>
    </row>
    <row r="9" spans="3:8">
      <c r="C9" s="6" t="s">
        <v>44</v>
      </c>
      <c r="D9" s="7" t="s">
        <v>45</v>
      </c>
      <c r="E9" s="8" t="s">
        <v>46</v>
      </c>
      <c r="F9" s="8" t="s">
        <v>113</v>
      </c>
      <c r="G9" s="11" t="s">
        <v>114</v>
      </c>
      <c r="H9" s="23" t="s">
        <v>47</v>
      </c>
    </row>
    <row r="10" spans="3:8">
      <c r="C10" s="6" t="s">
        <v>48</v>
      </c>
      <c r="D10" s="7" t="s">
        <v>49</v>
      </c>
      <c r="E10" s="8" t="s">
        <v>92</v>
      </c>
      <c r="F10" s="8" t="s">
        <v>115</v>
      </c>
      <c r="G10" s="11" t="s">
        <v>116</v>
      </c>
      <c r="H10" s="23" t="s">
        <v>50</v>
      </c>
    </row>
    <row r="11" spans="3:8">
      <c r="C11" s="12" t="s">
        <v>51</v>
      </c>
      <c r="D11" s="13" t="s">
        <v>52</v>
      </c>
      <c r="E11" s="10" t="s">
        <v>93</v>
      </c>
      <c r="F11" s="10" t="s">
        <v>117</v>
      </c>
      <c r="G11" s="11" t="s">
        <v>118</v>
      </c>
      <c r="H11" s="23" t="s">
        <v>53</v>
      </c>
    </row>
    <row r="12" spans="3:8">
      <c r="C12" s="6" t="s">
        <v>54</v>
      </c>
      <c r="D12" s="7" t="s">
        <v>55</v>
      </c>
      <c r="E12" s="8" t="s">
        <v>89</v>
      </c>
      <c r="F12" s="8" t="s">
        <v>119</v>
      </c>
      <c r="G12" s="11" t="s">
        <v>120</v>
      </c>
      <c r="H12" s="23" t="s">
        <v>56</v>
      </c>
    </row>
    <row r="13" spans="3:8">
      <c r="C13" s="6" t="s">
        <v>57</v>
      </c>
      <c r="D13" s="7" t="s">
        <v>58</v>
      </c>
      <c r="E13" s="8" t="s">
        <v>94</v>
      </c>
      <c r="F13" s="8" t="s">
        <v>121</v>
      </c>
      <c r="G13" s="11" t="s">
        <v>122</v>
      </c>
      <c r="H13" s="23" t="s">
        <v>59</v>
      </c>
    </row>
    <row r="14" spans="3:8">
      <c r="C14" s="6" t="s">
        <v>60</v>
      </c>
      <c r="D14" s="7" t="s">
        <v>61</v>
      </c>
      <c r="E14" s="8" t="s">
        <v>90</v>
      </c>
      <c r="F14" s="8" t="s">
        <v>123</v>
      </c>
      <c r="G14" s="11" t="s">
        <v>124</v>
      </c>
      <c r="H14" s="23" t="s">
        <v>62</v>
      </c>
    </row>
    <row r="15" spans="3:8">
      <c r="C15" s="6" t="s">
        <v>63</v>
      </c>
      <c r="D15" s="7" t="s">
        <v>64</v>
      </c>
      <c r="E15" s="8" t="s">
        <v>65</v>
      </c>
      <c r="F15" s="8" t="s">
        <v>125</v>
      </c>
      <c r="G15" s="11" t="s">
        <v>126</v>
      </c>
      <c r="H15" s="23" t="s">
        <v>66</v>
      </c>
    </row>
    <row r="16" spans="3:8">
      <c r="C16" s="6" t="s">
        <v>67</v>
      </c>
      <c r="D16" s="7" t="s">
        <v>68</v>
      </c>
      <c r="E16" s="8" t="s">
        <v>95</v>
      </c>
      <c r="F16" s="8" t="s">
        <v>127</v>
      </c>
      <c r="G16" s="11" t="s">
        <v>128</v>
      </c>
      <c r="H16" s="23" t="s">
        <v>69</v>
      </c>
    </row>
    <row r="17" spans="3:8">
      <c r="C17" s="6" t="s">
        <v>70</v>
      </c>
      <c r="D17" s="7" t="s">
        <v>71</v>
      </c>
      <c r="E17" s="8" t="s">
        <v>96</v>
      </c>
      <c r="F17" s="8" t="s">
        <v>129</v>
      </c>
      <c r="G17" s="11" t="s">
        <v>130</v>
      </c>
      <c r="H17" s="23" t="s">
        <v>72</v>
      </c>
    </row>
    <row r="18" spans="3:8">
      <c r="C18" s="6" t="s">
        <v>73</v>
      </c>
      <c r="D18" s="7" t="s">
        <v>74</v>
      </c>
      <c r="E18" s="8" t="s">
        <v>97</v>
      </c>
      <c r="F18" s="8" t="s">
        <v>131</v>
      </c>
      <c r="G18" s="11" t="s">
        <v>132</v>
      </c>
      <c r="H18" s="23" t="s">
        <v>75</v>
      </c>
    </row>
    <row r="19" spans="3:8">
      <c r="C19" s="14" t="s">
        <v>76</v>
      </c>
      <c r="D19" s="15" t="s">
        <v>77</v>
      </c>
      <c r="E19" s="16" t="s">
        <v>98</v>
      </c>
      <c r="F19" s="16" t="s">
        <v>133</v>
      </c>
      <c r="G19" s="17" t="s">
        <v>134</v>
      </c>
      <c r="H19" s="24" t="s">
        <v>78</v>
      </c>
    </row>
    <row r="20" spans="3:8">
      <c r="C20" s="14" t="s">
        <v>79</v>
      </c>
      <c r="D20" s="15" t="s">
        <v>80</v>
      </c>
      <c r="E20" s="16" t="s">
        <v>99</v>
      </c>
      <c r="F20" s="16" t="s">
        <v>135</v>
      </c>
      <c r="G20" s="17" t="s">
        <v>136</v>
      </c>
      <c r="H20" s="24" t="s">
        <v>81</v>
      </c>
    </row>
    <row r="21" spans="3:8">
      <c r="C21" s="14" t="s">
        <v>82</v>
      </c>
      <c r="D21" s="15" t="s">
        <v>83</v>
      </c>
      <c r="E21" s="16" t="s">
        <v>100</v>
      </c>
      <c r="F21" s="16" t="s">
        <v>137</v>
      </c>
      <c r="G21" s="17" t="s">
        <v>138</v>
      </c>
      <c r="H21" s="24" t="s">
        <v>84</v>
      </c>
    </row>
    <row r="22" spans="3:8" ht="14.25" thickBot="1">
      <c r="C22" s="18"/>
      <c r="D22" s="19"/>
      <c r="E22" s="20"/>
      <c r="F22" s="20"/>
      <c r="G22" s="21"/>
      <c r="H22" s="2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見積書</vt:lpstr>
      <vt:lpstr>マスタ</vt:lpstr>
      <vt:lpstr>見積書!Print_Area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2025-10-20T04:04:53Z</cp:lastPrinted>
  <dcterms:created xsi:type="dcterms:W3CDTF">2019-06-28T00:16:48Z</dcterms:created>
  <dcterms:modified xsi:type="dcterms:W3CDTF">2026-04-09T00:14:55Z</dcterms:modified>
</cp:coreProperties>
</file>