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見積書!$A$1:$J$62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3" l="1"/>
  <c r="I25" i="3"/>
  <c r="I23" i="3" l="1"/>
  <c r="I9" i="3"/>
  <c r="H11" i="3"/>
  <c r="H13" i="3"/>
  <c r="H12" i="3"/>
  <c r="C49" i="3" l="1"/>
  <c r="E49" i="3" s="1"/>
  <c r="C48" i="3"/>
  <c r="E48" i="3" s="1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C50" i="3"/>
  <c r="C47" i="3" l="1"/>
  <c r="E47" i="3" s="1"/>
  <c r="E46" i="3" s="1"/>
  <c r="C51" i="3"/>
  <c r="C46" i="3" l="1"/>
  <c r="E2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9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リストから営業所を選択してください。
営業所情報が切替わります。</t>
        </r>
      </text>
    </comment>
  </commentList>
</comments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<sst xmlns="http://schemas.openxmlformats.org/spreadsheetml/2006/main" count="158" uniqueCount="155">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</sst>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;\-#,##0;&quot;-&quot;"/>
    <numFmt numFmtId="177" formatCode="#,##0;&quot;▲ &quot;#,##0"/>
    <numFmt numFmtId="178" formatCode="[$-F800]dddd\,\ mmmm\ dd\,\ yyyy"/>
  </numFmts>
  <fonts count="3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178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594357</xdr:colOff>
      <xdr:row>14</xdr:row>
      <xdr:rowOff>95250</xdr:rowOff>
    </xdr:from>
    <xdr:to>
      <xdr:col>9</xdr:col>
      <xdr:colOff>819134</xdr:colOff>
      <xdr:row>18</xdr:row>
      <xdr:rowOff>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233157" y="2962275"/>
          <a:ext cx="1405877" cy="666750"/>
          <a:chOff x="5229225" y="9153525"/>
          <a:chExt cx="2105025" cy="790575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6305550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5229225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</xdr:grpSp>
    <xdr:clientData/>
  </xdr:twoCellAnchor>
  <xdr:twoCellAnchor>
    <xdr:from>
      <xdr:col>1</xdr:col>
      <xdr:colOff>1066798</xdr:colOff>
      <xdr:row>43</xdr:row>
      <xdr:rowOff>66675</xdr:rowOff>
    </xdr:from>
    <xdr:to>
      <xdr:col>6</xdr:col>
      <xdr:colOff>28574</xdr:colOff>
      <xdr:row>51</xdr:row>
      <xdr:rowOff>38100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14548" y="9391650"/>
          <a:ext cx="2343151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7</xdr:col>
      <xdr:colOff>752475</xdr:colOff>
      <xdr:row>20</xdr:row>
      <xdr:rowOff>485775</xdr:rowOff>
    </xdr:from>
    <xdr:to>
      <xdr:col>8</xdr:col>
      <xdr:colOff>1143000</xdr:colOff>
      <xdr:row>42</xdr:row>
      <xdr:rowOff>47625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600700" y="4791075"/>
          <a:ext cx="1181100" cy="52959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10</xdr:col>
      <xdr:colOff>466724</xdr:colOff>
      <xdr:row>21</xdr:row>
      <xdr:rowOff>28575</xdr:rowOff>
    </xdr:from>
    <xdr:to>
      <xdr:col>16</xdr:col>
      <xdr:colOff>371475</xdr:colOff>
      <xdr:row>25</xdr:row>
      <xdr:rowOff>123825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620124" y="4505325"/>
          <a:ext cx="4019551" cy="10858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・赤枠内は編集不可です。数式設定セルや固定値となります。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（赤枠は印刷しない設定にしています。）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・明細行について、税率はリストから選択する。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税率を選択することで、下段の合計内訳欄に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金額が表示されます。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6</xdr:col>
      <xdr:colOff>390523</xdr:colOff>
      <xdr:row>43</xdr:row>
      <xdr:rowOff>66675</xdr:rowOff>
    </xdr:from>
    <xdr:to>
      <xdr:col>10</xdr:col>
      <xdr:colOff>28575</xdr:colOff>
      <xdr:row>51</xdr:row>
      <xdr:rowOff>38100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19648" y="10334625"/>
          <a:ext cx="3143252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3.75" style="26" customWidth="1"/>
    <col min="2" max="2" width="14.25" style="26" customWidth="1"/>
    <col min="3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10.375" style="26" customWidth="1"/>
    <col min="9" max="9" width="15.5" style="26" customWidth="1"/>
    <col min="10" max="10" width="12.375" style="26" customWidth="1"/>
    <col min="11" max="16384" width="9" style="26"/>
  </cols>
  <sheetData>
    <row r="1" spans="1:10" ht="22.5" customHeight="1">
      <c r="C1" s="151" t="s">
        <v>18</v>
      </c>
      <c r="D1" s="152"/>
      <c r="E1" s="152"/>
      <c r="F1" s="152"/>
      <c r="G1" s="152"/>
      <c r="H1" s="153"/>
    </row>
    <row r="2" spans="1:10" ht="22.5" customHeight="1" thickBot="1">
      <c r="C2" s="154"/>
      <c r="D2" s="155"/>
      <c r="E2" s="155"/>
      <c r="F2" s="155"/>
      <c r="G2" s="155"/>
      <c r="H2" s="156"/>
    </row>
    <row r="3" spans="1:10" ht="3.75" customHeight="1"/>
    <row r="4" spans="1:10" ht="20.25" customHeight="1">
      <c r="I4" s="157" t="s">
        <v>151</v>
      </c>
      <c r="J4" s="157"/>
    </row>
    <row r="5" spans="1:10" ht="20.25" customHeight="1">
      <c r="F5" s="27"/>
      <c r="G5" s="27"/>
      <c r="H5" s="28"/>
      <c r="I5" s="90">
        <v>46113</v>
      </c>
      <c r="J5" s="90"/>
    </row>
    <row r="6" spans="1:10" ht="15" customHeight="1">
      <c r="A6" s="176" t="s">
        <v>154</v>
      </c>
      <c r="B6" s="176"/>
      <c r="C6" s="176"/>
      <c r="D6" s="176"/>
      <c r="E6" s="176"/>
      <c r="F6" s="27"/>
      <c r="G6" s="27"/>
      <c r="H6" s="28"/>
      <c r="I6" s="29"/>
      <c r="J6" s="29"/>
    </row>
    <row r="7" spans="1:10" ht="15" customHeight="1">
      <c r="A7" s="177"/>
      <c r="B7" s="177"/>
      <c r="C7" s="177"/>
      <c r="D7" s="177"/>
      <c r="E7" s="177"/>
      <c r="J7" s="30"/>
    </row>
    <row r="8" spans="1:10" ht="20.25" customHeight="1">
      <c r="F8" s="27"/>
      <c r="G8" s="27"/>
      <c r="H8" s="33" t="s">
        <v>16</v>
      </c>
    </row>
    <row r="9" spans="1:10" ht="17.25" customHeight="1">
      <c r="B9" s="31"/>
      <c r="C9" s="31"/>
      <c r="D9" s="31"/>
      <c r="E9" s="31"/>
      <c r="F9" s="30"/>
      <c r="G9" s="30"/>
      <c r="H9" s="32" t="s">
        <v>37</v>
      </c>
      <c r="I9" s="33" t="str">
        <f>"所長　"&amp;VLOOKUP(H9,マスタ!$C$1:$H$22,6,0)</f>
        <v>所長　久保　匠史</v>
      </c>
    </row>
    <row r="10" spans="1:10" ht="3" customHeight="1">
      <c r="A10" s="31"/>
      <c r="B10" s="31"/>
      <c r="C10" s="31"/>
      <c r="D10" s="31"/>
      <c r="E10" s="31"/>
      <c r="F10" s="30"/>
      <c r="G10" s="30"/>
    </row>
    <row r="11" spans="1:10" ht="15" customHeight="1">
      <c r="F11" s="30"/>
      <c r="G11" s="30"/>
      <c r="H11" s="89" t="str">
        <f>"〒"&amp;VLOOKUP(H9,マスタ!$C$1:$H$22,2,0)</f>
        <v>〒824-0043</v>
      </c>
      <c r="I11" s="89"/>
    </row>
    <row r="12" spans="1:10" ht="15" customHeight="1">
      <c r="F12" s="30"/>
      <c r="G12" s="30"/>
      <c r="H12" s="80" t="str">
        <f>VLOOKUP(H9,マスタ!$C$1:$H$22,3,0)</f>
        <v>福岡県行橋市大字流末1327番地</v>
      </c>
      <c r="I12" s="34"/>
      <c r="J12" s="31"/>
    </row>
    <row r="13" spans="1:10" ht="18" customHeight="1">
      <c r="A13" s="34" t="s">
        <v>139</v>
      </c>
      <c r="F13" s="30"/>
      <c r="G13" s="30"/>
      <c r="H13" s="81" t="str">
        <f>"TEL："&amp;VLOOKUP(H9,マスタ!$C$1:$H$22,4,0)&amp;"　FAX："&amp;VLOOKUP(H9,マスタ!$C$1:$H$22,5,0)</f>
        <v>TEL：0930-26-9640　FAX：0930-26-9641</v>
      </c>
      <c r="I13" s="34"/>
      <c r="J13" s="31"/>
    </row>
    <row r="14" spans="1:10" ht="18" customHeight="1">
      <c r="A14" s="94" t="s">
        <v>140</v>
      </c>
      <c r="B14" s="158"/>
      <c r="C14" s="158"/>
      <c r="D14" s="158"/>
      <c r="E14" s="158"/>
      <c r="F14" s="30"/>
      <c r="G14" s="30"/>
      <c r="H14" s="80" t="s">
        <v>17</v>
      </c>
      <c r="I14" s="34"/>
      <c r="J14" s="31"/>
    </row>
    <row r="15" spans="1:10" ht="15" customHeight="1">
      <c r="A15" s="95"/>
      <c r="B15" s="159"/>
      <c r="C15" s="159"/>
      <c r="D15" s="159"/>
      <c r="E15" s="159"/>
      <c r="F15" s="30"/>
      <c r="G15" s="30"/>
      <c r="H15" s="30"/>
      <c r="I15" s="30"/>
      <c r="J15" s="30"/>
    </row>
    <row r="16" spans="1:10" ht="15" customHeight="1">
      <c r="A16" s="96"/>
      <c r="B16" s="160"/>
      <c r="C16" s="160"/>
      <c r="D16" s="160"/>
      <c r="E16" s="160"/>
      <c r="G16" s="30"/>
      <c r="H16" s="30"/>
      <c r="I16" s="30"/>
      <c r="J16" s="30"/>
    </row>
    <row r="17" spans="1:10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</row>
    <row r="18" spans="1:10" ht="15" customHeight="1">
      <c r="A18" s="36" t="s">
        <v>148</v>
      </c>
      <c r="B18" s="174" t="s">
        <v>149</v>
      </c>
      <c r="C18" s="175"/>
      <c r="D18" s="175"/>
      <c r="E18" s="175"/>
      <c r="J18" s="30"/>
    </row>
    <row r="19" spans="1:10" ht="15" customHeight="1">
      <c r="A19" s="75"/>
      <c r="B19" s="74"/>
      <c r="C19" s="73"/>
      <c r="D19" s="73"/>
      <c r="E19" s="73"/>
      <c r="J19" s="30"/>
    </row>
    <row r="20" spans="1:10" ht="15" customHeight="1" thickBot="1">
      <c r="A20" s="31"/>
      <c r="J20" s="30"/>
    </row>
    <row r="21" spans="1:10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0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38" t="s">
        <v>4</v>
      </c>
    </row>
    <row r="23" spans="1:10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43">
        <v>0.1</v>
      </c>
    </row>
    <row r="24" spans="1:10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43"/>
    </row>
    <row r="25" spans="1:10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43"/>
    </row>
    <row r="26" spans="1:10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 t="shared" ref="I26:I42" si="0">IF(F26*H26,F26*H26,"")</f>
        <v/>
      </c>
      <c r="J26" s="46"/>
    </row>
    <row r="27" spans="1:10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 t="shared" si="0"/>
        <v/>
      </c>
      <c r="J27" s="46"/>
    </row>
    <row r="28" spans="1:10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 t="shared" si="0"/>
        <v/>
      </c>
      <c r="J28" s="46"/>
    </row>
    <row r="29" spans="1:10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 t="shared" si="0"/>
        <v/>
      </c>
      <c r="J29" s="43"/>
    </row>
    <row r="30" spans="1:10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 t="shared" si="0"/>
        <v/>
      </c>
      <c r="J30" s="43"/>
    </row>
    <row r="31" spans="1:10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 t="shared" si="0"/>
        <v/>
      </c>
      <c r="J31" s="43"/>
    </row>
    <row r="32" spans="1:10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 t="shared" si="0"/>
        <v/>
      </c>
      <c r="J32" s="43"/>
    </row>
    <row r="33" spans="1:10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 t="shared" si="0"/>
        <v/>
      </c>
      <c r="J33" s="43"/>
    </row>
    <row r="34" spans="1:10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 t="shared" si="0"/>
        <v/>
      </c>
      <c r="J34" s="43"/>
    </row>
    <row r="35" spans="1:10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 t="shared" si="0"/>
        <v/>
      </c>
      <c r="J35" s="43"/>
    </row>
    <row r="36" spans="1:10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 t="shared" si="0"/>
        <v/>
      </c>
      <c r="J36" s="43"/>
    </row>
    <row r="37" spans="1:10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 t="shared" si="0"/>
        <v/>
      </c>
      <c r="J37" s="43"/>
    </row>
    <row r="38" spans="1:10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 t="shared" si="0"/>
        <v/>
      </c>
      <c r="J38" s="43"/>
    </row>
    <row r="39" spans="1:10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 t="shared" si="0"/>
        <v/>
      </c>
      <c r="J39" s="43"/>
    </row>
    <row r="40" spans="1:10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 t="shared" si="0"/>
        <v/>
      </c>
      <c r="J40" s="43"/>
    </row>
    <row r="41" spans="1:10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 t="shared" si="0"/>
        <v/>
      </c>
      <c r="J41" s="43"/>
    </row>
    <row r="42" spans="1:10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 t="shared" si="0"/>
        <v/>
      </c>
      <c r="J42" s="50"/>
    </row>
    <row r="43" spans="1:10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</row>
    <row r="44" spans="1:10" ht="7.5" customHeight="1" thickBot="1">
      <c r="A44" s="54"/>
      <c r="B44" s="54"/>
      <c r="C44" s="54"/>
      <c r="D44" s="54"/>
      <c r="E44" s="54"/>
      <c r="F44" s="54"/>
      <c r="H44" s="55"/>
      <c r="J44" s="56"/>
    </row>
    <row r="45" spans="1:10" ht="18.75" customHeight="1">
      <c r="A45" s="164" t="s">
        <v>143</v>
      </c>
      <c r="B45" s="165"/>
      <c r="C45" s="161" t="s">
        <v>153</v>
      </c>
      <c r="D45" s="162"/>
      <c r="E45" s="162" t="s">
        <v>9</v>
      </c>
      <c r="F45" s="163"/>
      <c r="G45" s="57"/>
      <c r="H45" s="145" t="s">
        <v>144</v>
      </c>
      <c r="I45" s="146"/>
      <c r="J45" s="147"/>
    </row>
    <row r="46" spans="1:10" ht="18.75" customHeight="1" thickBot="1">
      <c r="A46" s="166"/>
      <c r="B46" s="167"/>
      <c r="C46" s="128">
        <f>SUM(C47:D51)</f>
        <v>0</v>
      </c>
      <c r="D46" s="122"/>
      <c r="E46" s="122">
        <f>E47+E48+E49</f>
        <v>0</v>
      </c>
      <c r="F46" s="123"/>
      <c r="G46" s="58"/>
      <c r="H46" s="148"/>
      <c r="I46" s="149"/>
      <c r="J46" s="150"/>
    </row>
    <row r="47" spans="1:10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2"/>
    </row>
    <row r="48" spans="1:10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2"/>
    </row>
    <row r="49" spans="1:10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2"/>
    </row>
    <row r="50" spans="1:10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2"/>
    </row>
    <row r="51" spans="1:10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5"/>
    </row>
    <row r="52" spans="1:10" ht="13.9" customHeight="1">
      <c r="A52" s="60"/>
      <c r="B52" s="61"/>
      <c r="C52" s="61"/>
      <c r="D52" s="61"/>
      <c r="E52" s="61"/>
      <c r="F52" s="61"/>
      <c r="H52" s="55"/>
      <c r="I52" s="62"/>
      <c r="J52" s="56"/>
    </row>
    <row r="53" spans="1:10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</row>
    <row r="54" spans="1:10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</row>
    <row r="55" spans="1:10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</row>
    <row r="56" spans="1:10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</row>
    <row r="57" spans="1:10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</row>
    <row r="58" spans="1:10" ht="10.5" customHeight="1"/>
    <row r="59" spans="1:10" ht="18.75" customHeight="1">
      <c r="A59" s="129" t="s">
        <v>142</v>
      </c>
      <c r="B59" s="130"/>
      <c r="C59" s="130"/>
      <c r="D59" s="130"/>
      <c r="E59" s="130"/>
      <c r="F59" s="130"/>
      <c r="G59" s="130"/>
      <c r="H59" s="130"/>
      <c r="I59" s="130"/>
      <c r="J59" s="131"/>
    </row>
    <row r="60" spans="1:10" ht="18.75" customHeight="1">
      <c r="A60" s="138"/>
      <c r="B60" s="139"/>
      <c r="C60" s="139"/>
      <c r="D60" s="139"/>
      <c r="E60" s="139"/>
      <c r="F60" s="139"/>
      <c r="G60" s="139"/>
      <c r="H60" s="139"/>
      <c r="I60" s="139"/>
      <c r="J60" s="140"/>
    </row>
    <row r="61" spans="1:10" ht="18.75" customHeight="1">
      <c r="A61" s="135"/>
      <c r="B61" s="136"/>
      <c r="C61" s="136"/>
      <c r="D61" s="136"/>
      <c r="E61" s="136"/>
      <c r="F61" s="136"/>
      <c r="G61" s="136"/>
      <c r="H61" s="136"/>
      <c r="I61" s="136"/>
      <c r="J61" s="137"/>
    </row>
    <row r="62" spans="1:10" ht="18.75" customHeight="1">
      <c r="A62" s="132"/>
      <c r="B62" s="133"/>
      <c r="C62" s="133"/>
      <c r="D62" s="133"/>
      <c r="E62" s="133"/>
      <c r="F62" s="133"/>
      <c r="G62" s="133"/>
      <c r="H62" s="133"/>
      <c r="I62" s="133"/>
      <c r="J62" s="134"/>
    </row>
    <row r="63" spans="1:10">
      <c r="A63" s="72"/>
    </row>
  </sheetData>
  <sheetProtection formatRows="0" insertRows="0" deleteRows="0" selectLockedCells="1"/>
  <mergeCells count="62">
    <mergeCell ref="H45:J46"/>
    <mergeCell ref="C1:H2"/>
    <mergeCell ref="I4:J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J59"/>
    <mergeCell ref="A62:J62"/>
    <mergeCell ref="A61:J61"/>
    <mergeCell ref="A60:J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J47"/>
    <mergeCell ref="H48:J48"/>
    <mergeCell ref="H49:J49"/>
    <mergeCell ref="H50:J50"/>
    <mergeCell ref="H51:J51"/>
    <mergeCell ref="A50:B50"/>
    <mergeCell ref="A51:B51"/>
    <mergeCell ref="A47:B47"/>
    <mergeCell ref="A48:B48"/>
    <mergeCell ref="A49:B49"/>
    <mergeCell ref="H11:I11"/>
    <mergeCell ref="I5:J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0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1000000}">
          <x14:formula1>
            <xm:f>マスタ!$C$2:$C$22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